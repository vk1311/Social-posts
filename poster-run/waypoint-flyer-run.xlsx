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ypoint flyers" sheetId="1" state="visible" r:id="rId3"/>
    <sheet name="Waypoint Apps" sheetId="2" state="visible" r:id="rId4"/>
    <sheet name="All stops (route)" sheetId="3" state="visible" r:id="rId5"/>
    <sheet name="Print list" sheetId="4" state="visible" r:id="rId6"/>
  </sheets>
  <definedNames>
    <definedName function="false" hidden="true" localSheetId="2" name="_xlnm._FilterDatabase" vbProcedure="false">'All stops (route)'!$A$4:$L$65</definedName>
    <definedName function="false" hidden="true" localSheetId="1" name="_xlnm._FilterDatabase" vbProcedure="false">'Waypoint Apps'!$A$4:$L$45</definedName>
    <definedName function="false" hidden="true" localSheetId="0" name="_xlnm._FilterDatabase" vbProcedure="false">'Waypoint flyers'!$A$4:$L$32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<sst xmlns="http://schemas.openxmlformats.org/spreadsheetml/2006/main" count="1123" uniqueCount="296">
  <si>
    <t xml:space="preserve">Waypoint flyers</t>
  </si>
  <si>
    <t xml:space="preserve">Business owners with paperwork pain: trades counters, rentals, lenders, accountants, print shops. Leave the Waypoint flyer on boards and counter cards at tills. Yellow column: type Y when done.</t>
  </si>
  <si>
    <t xml:space="preserve">Done:</t>
  </si>
  <si>
    <t xml:space="preserve">Stop</t>
  </si>
  <si>
    <t xml:space="preserve">Audience</t>
  </si>
  <si>
    <t xml:space="preserve">Town</t>
  </si>
  <si>
    <t xml:space="preserve">Place</t>
  </si>
  <si>
    <t xml:space="preserve">Address (paste into Maps)</t>
  </si>
  <si>
    <t xml:space="preserve">Type</t>
  </si>
  <si>
    <t xml:space="preserve">What to leave</t>
  </si>
  <si>
    <t xml:space="preserve">What to ask</t>
  </si>
  <si>
    <t xml:space="preserve">Hours (check first)</t>
  </si>
  <si>
    <t xml:space="preserve">Priority (1 = do first)</t>
  </si>
  <si>
    <t xml:space="preserve">Done (Y)</t>
  </si>
  <si>
    <t xml:space="preserve">Notes</t>
  </si>
  <si>
    <t xml:space="preserve">Both</t>
  </si>
  <si>
    <t xml:space="preserve">Kentville</t>
  </si>
  <si>
    <t xml:space="preserve">CBDC Hants-Kings</t>
  </si>
  <si>
    <t xml:space="preserve">448 Main St, Kentville, NS B4N 1R5</t>
  </si>
  <si>
    <t xml:space="preserve">Small-business lender</t>
  </si>
  <si>
    <t xml:space="preserve">Waypoint counter cards (small stack) + Apps take-one cards (small stack)</t>
  </si>
  <si>
    <t xml:space="preserve">They lend to and advise new owners. Ask to leave cards for clients and if you can drop off more later.</t>
  </si>
  <si>
    <t xml:space="preserve">Mon–Fri 8:30–4:30</t>
  </si>
  <si>
    <t xml:space="preserve">Valley Regional Enterprise Network (Valley REN)</t>
  </si>
  <si>
    <t xml:space="preserve">Business support office</t>
  </si>
  <si>
    <t xml:space="preserve">Waypoint counter cards + Apps take-one cards</t>
  </si>
  <si>
    <t xml:space="preserve">Same building as CBDC. Ask about their business newsletter and leaving cards.</t>
  </si>
  <si>
    <t xml:space="preserve">Annapolis Valley Chamber of Commerce</t>
  </si>
  <si>
    <t xml:space="preserve">Ask about the members' board, the newsletter, and leaving cards.</t>
  </si>
  <si>
    <t xml:space="preserve">Mon–Fri 8:30–4</t>
  </si>
  <si>
    <t xml:space="preserve">The Space and Company (coworking)</t>
  </si>
  <si>
    <t xml:space="preserve">10 Webster St #210, Kentville, NS</t>
  </si>
  <si>
    <t xml:space="preserve">Coworking</t>
  </si>
  <si>
    <t xml:space="preserve">Waypoint flyer on board + Apps take-one cards (small stack)</t>
  </si>
  <si>
    <t xml:space="preserve">Freelancers and small owners work here. Ask to leave cards in the common area.</t>
  </si>
  <si>
    <t xml:space="preserve">Weekdays</t>
  </si>
  <si>
    <t xml:space="preserve">Waypoint</t>
  </si>
  <si>
    <t xml:space="preserve">mbf Chartered Professional Accountants</t>
  </si>
  <si>
    <t xml:space="preserve">464 Main St, Kentville, NS B4N 1K8</t>
  </si>
  <si>
    <t xml:space="preserve">Accountant</t>
  </si>
  <si>
    <t xml:space="preserve">Waypoint counter cards (small stack)</t>
  </si>
  <si>
    <t xml:space="preserve">Ask if you can leave a few cards for clients who are still on paper. Don't pitch the apps here.</t>
  </si>
  <si>
    <t xml:space="preserve">Infinite Solutions Bookkeeping &amp; Accounting</t>
  </si>
  <si>
    <t xml:space="preserve">25 Webster Ct, Kentville, NS B4N 1H3</t>
  </si>
  <si>
    <t xml:space="preserve">Bookkeeper</t>
  </si>
  <si>
    <t xml:space="preserve">Same ask as accountants: cards for clients drowning in paperwork.</t>
  </si>
  <si>
    <t xml:space="preserve">Rockwell Home Hardware</t>
  </si>
  <si>
    <t xml:space="preserve">414 Main St, Kentville, NS</t>
  </si>
  <si>
    <t xml:space="preserve">Hardware / trades</t>
  </si>
  <si>
    <t xml:space="preserve">Waypoint flyer on board + Waypoint counter cards (small stack)</t>
  </si>
  <si>
    <t xml:space="preserve">Trades buy here. Ask about a board by the door or cards at the till.</t>
  </si>
  <si>
    <t xml:space="preserve">Daily</t>
  </si>
  <si>
    <t xml:space="preserve">Fraser's Pro Home Centre</t>
  </si>
  <si>
    <t xml:space="preserve">14 Pelton Dr, Kentville, NS</t>
  </si>
  <si>
    <t xml:space="preserve">Building supply</t>
  </si>
  <si>
    <t xml:space="preserve">Contractor desk. Ask to leave cards at the counter.</t>
  </si>
  <si>
    <t xml:space="preserve">Mon–Sat</t>
  </si>
  <si>
    <t xml:space="preserve">Coldbrook</t>
  </si>
  <si>
    <t xml:space="preserve">Scotian Gold Country Store</t>
  </si>
  <si>
    <t xml:space="preserve">7027 Hwy 1, Coldbrook, NS</t>
  </si>
  <si>
    <t xml:space="preserve">Farm / landscape supply</t>
  </si>
  <si>
    <t xml:space="preserve">Farmers and landscapers shop here. Ask about the community board.</t>
  </si>
  <si>
    <t xml:space="preserve">Carquest Auto Parts</t>
  </si>
  <si>
    <t xml:space="preserve">108 Coldbrook Village Park Dr, Coldbrook, NS</t>
  </si>
  <si>
    <t xml:space="preserve">Auto parts</t>
  </si>
  <si>
    <t xml:space="preserve">Mechanics and fleet owners. Cards at the counter.</t>
  </si>
  <si>
    <t xml:space="preserve">Kent &amp; Duffett Chartered Professional Accountants</t>
  </si>
  <si>
    <t xml:space="preserve">46 Chipman Dr Unit 1, Kentville, NS B4N 3V7</t>
  </si>
  <si>
    <t xml:space="preserve">Cards for clients still doing invoices by hand.</t>
  </si>
  <si>
    <t xml:space="preserve">New Minas</t>
  </si>
  <si>
    <t xml:space="preserve">Valley Power Products (rentals)</t>
  </si>
  <si>
    <t xml:space="preserve">9 Nova Dr, New Minas, NS B4N 3G7</t>
  </si>
  <si>
    <t xml:space="preserve">Equipment rental</t>
  </si>
  <si>
    <t xml:space="preserve">Contractors rent here. Ask about a board or cards at the counter.</t>
  </si>
  <si>
    <t xml:space="preserve">Mon–Fri 7:30–5</t>
  </si>
  <si>
    <t xml:space="preserve">Fleetworx Inc.</t>
  </si>
  <si>
    <t xml:space="preserve">64 Minas Warehouse Rd, New Minas, NS B4N 5G3</t>
  </si>
  <si>
    <t xml:space="preserve">Truck / fleet</t>
  </si>
  <si>
    <t xml:space="preserve">Fleet owners. Cards at the counter.</t>
  </si>
  <si>
    <t xml:space="preserve">Mon–Fri 8–5</t>
  </si>
  <si>
    <t xml:space="preserve">Irving Big Stop (New Minas)</t>
  </si>
  <si>
    <t xml:space="preserve">5477 Prospect Rd, New Minas, NS B4N 3K9</t>
  </si>
  <si>
    <t xml:space="preserve">Truck stop / diner</t>
  </si>
  <si>
    <t xml:space="preserve">Waypoint flyer on board</t>
  </si>
  <si>
    <t xml:space="preserve">Truckers and contractors eat breakfast here. Ask about a board near the restaurant.</t>
  </si>
  <si>
    <t xml:space="preserve">24 hours (restaurant 8–8)</t>
  </si>
  <si>
    <t xml:space="preserve">Kent Building Supplies</t>
  </si>
  <si>
    <t xml:space="preserve">5447 Prospect Rd, New Minas, NS</t>
  </si>
  <si>
    <t xml:space="preserve">Contractor desk. Ask about the board and cards.</t>
  </si>
  <si>
    <t xml:space="preserve">Bumper to Bumper Auto Parts</t>
  </si>
  <si>
    <t xml:space="preserve">5494 Prospect Rd, New Minas, NS</t>
  </si>
  <si>
    <t xml:space="preserve">Cards at the counter.</t>
  </si>
  <si>
    <t xml:space="preserve">The Home Depot</t>
  </si>
  <si>
    <t xml:space="preserve">21 Silver Fox Ave, New Minas, NS</t>
  </si>
  <si>
    <t xml:space="preserve">Pro desk. Ask whether they allow cards.</t>
  </si>
  <si>
    <t xml:space="preserve">NAPA Auto Parts</t>
  </si>
  <si>
    <t xml:space="preserve">8793 Commercial St, New Minas, NS</t>
  </si>
  <si>
    <t xml:space="preserve">Trade counter. Cards at the till.</t>
  </si>
  <si>
    <t xml:space="preserve">Repracorp Design and Print</t>
  </si>
  <si>
    <t xml:space="preserve">8927 Commercial St, New Minas, NS</t>
  </si>
  <si>
    <t xml:space="preserve">Print shop</t>
  </si>
  <si>
    <t xml:space="preserve">Business print customers. Ask at the front.</t>
  </si>
  <si>
    <t xml:space="preserve">Running Man Grocery Mart</t>
  </si>
  <si>
    <t xml:space="preserve">9036 Commercial St, New Minas, NS</t>
  </si>
  <si>
    <t xml:space="preserve">Bulk grocery</t>
  </si>
  <si>
    <t xml:space="preserve">Restaurant and shop owners stock up here. Ask at the counter.</t>
  </si>
  <si>
    <t xml:space="preserve">The UPS Store</t>
  </si>
  <si>
    <t xml:space="preserve">9049 Commercial St, New Minas, NS</t>
  </si>
  <si>
    <t xml:space="preserve">Shipping</t>
  </si>
  <si>
    <t xml:space="preserve">Apps take-one cards (small stack) + Waypoint counter cards (small stack)</t>
  </si>
  <si>
    <t xml:space="preserve">Online sellers and small shops ship here. Ask to leave cards.</t>
  </si>
  <si>
    <t xml:space="preserve">Staples + Staples Print</t>
  </si>
  <si>
    <t xml:space="preserve">9081 Commercial St, New Minas, NS</t>
  </si>
  <si>
    <t xml:space="preserve">Ask at the print desk about leaving cards.</t>
  </si>
  <si>
    <t xml:space="preserve">Panda Print</t>
  </si>
  <si>
    <t xml:space="preserve">9146 Commercial St, New Minas, NS</t>
  </si>
  <si>
    <t xml:space="preserve">Owners print signs and cards here. Ask to leave cards on the counter.</t>
  </si>
  <si>
    <t xml:space="preserve">Mon–Fri 9–5</t>
  </si>
  <si>
    <t xml:space="preserve">Valley Credit Union</t>
  </si>
  <si>
    <t xml:space="preserve">9237 Commercial St, New Minas, NS</t>
  </si>
  <si>
    <t xml:space="preserve">Credit union</t>
  </si>
  <si>
    <t xml:space="preserve">Business banking. Ask whether they have a board or take cards.</t>
  </si>
  <si>
    <t xml:space="preserve">Mon–Fri 10–4</t>
  </si>
  <si>
    <t xml:space="preserve">Greenwich</t>
  </si>
  <si>
    <t xml:space="preserve">TNT Tool Rental &amp; Safety</t>
  </si>
  <si>
    <t xml:space="preserve">9776 Hwy 1, Greenwich, NS B4P 0A7</t>
  </si>
  <si>
    <t xml:space="preserve">Canning</t>
  </si>
  <si>
    <t xml:space="preserve">Maple Leaf Home Hardware</t>
  </si>
  <si>
    <t xml:space="preserve">9767 Main St, Canning, NS</t>
  </si>
  <si>
    <t xml:space="preserve">Ask about a board or the till.</t>
  </si>
  <si>
    <t xml:space="preserve">Berwick</t>
  </si>
  <si>
    <t xml:space="preserve">Feeds'n Needs</t>
  </si>
  <si>
    <t xml:space="preserve">229 Commercial St, Berwick, NS</t>
  </si>
  <si>
    <t xml:space="preserve">Farm / pet supply</t>
  </si>
  <si>
    <t xml:space="preserve">Farm and pet businesses. Ask at the counter.</t>
  </si>
  <si>
    <t xml:space="preserve">Cambridge</t>
  </si>
  <si>
    <t xml:space="preserve">Cambridge Construction Rentals</t>
  </si>
  <si>
    <t xml:space="preserve">5660 Evangeline Trl, Cambridge, NS B0P 1G0</t>
  </si>
  <si>
    <t xml:space="preserve">Mon–Fri 7–5</t>
  </si>
  <si>
    <t xml:space="preserve">Waypoint Apps</t>
  </si>
  <si>
    <t xml:space="preserve">Solo sellers, makers, side hustles, students: markets, libraries, grocery boards, cafés. Leave the Apps poster on boards and take-one cards at counters. Yellow column: type Y when done.</t>
  </si>
  <si>
    <t xml:space="preserve">Apps</t>
  </si>
  <si>
    <t xml:space="preserve">Kentville Library</t>
  </si>
  <si>
    <t xml:space="preserve">440 Main St, Kentville, NS</t>
  </si>
  <si>
    <t xml:space="preserve">Library board</t>
  </si>
  <si>
    <t xml:space="preserve">Apps poster on board</t>
  </si>
  <si>
    <t xml:space="preserve">Community board inside. Ask staff to approve and date-stamp.</t>
  </si>
  <si>
    <t xml:space="preserve">Tue–Sat (closed Sun, Mon)</t>
  </si>
  <si>
    <t xml:space="preserve">Kentville Farmers Market</t>
  </si>
  <si>
    <t xml:space="preserve">Centre Square, Kentville, NS B4N 1G9</t>
  </si>
  <si>
    <t xml:space="preserve">Farmers' market</t>
  </si>
  <si>
    <t xml:space="preserve">Apps take-one cards (small stack)</t>
  </si>
  <si>
    <t xml:space="preserve">Wednesdays. Vendors are the perfect Apps user. Ask the market manager first, then chat to vendors.</t>
  </si>
  <si>
    <t xml:space="preserve">Wed 10–1</t>
  </si>
  <si>
    <t xml:space="preserve">Wheelhouse Coffee Co.</t>
  </si>
  <si>
    <t xml:space="preserve">2 Webster St, Kentville, NS</t>
  </si>
  <si>
    <t xml:space="preserve">Café</t>
  </si>
  <si>
    <t xml:space="preserve">Ask at the counter.</t>
  </si>
  <si>
    <t xml:space="preserve">Half Acre Cafe</t>
  </si>
  <si>
    <t xml:space="preserve">395 Main St, Kentville, NS</t>
  </si>
  <si>
    <t xml:space="preserve">Daily 8–4</t>
  </si>
  <si>
    <t xml:space="preserve">T.A.N. Coffee Kentville</t>
  </si>
  <si>
    <t xml:space="preserve">431 Main St, Kentville, NS</t>
  </si>
  <si>
    <t xml:space="preserve">Kentville Recreation Centre</t>
  </si>
  <si>
    <t xml:space="preserve">348 Main St, Kentville, NS</t>
  </si>
  <si>
    <t xml:space="preserve">Community centre</t>
  </si>
  <si>
    <t xml:space="preserve">Ask at the front desk.</t>
  </si>
  <si>
    <t xml:space="preserve">Royal Canadian Legion Branch 6</t>
  </si>
  <si>
    <t xml:space="preserve">37 River St, Kentville, NS</t>
  </si>
  <si>
    <t xml:space="preserve">Legion hall</t>
  </si>
  <si>
    <t xml:space="preserve">Hall board. Ask the bar or front volunteer.</t>
  </si>
  <si>
    <t xml:space="preserve">Thu–Sun</t>
  </si>
  <si>
    <t xml:space="preserve">Maytag Coin Laundry</t>
  </si>
  <si>
    <t xml:space="preserve">252 Main St, Kentville, NS</t>
  </si>
  <si>
    <t xml:space="preserve">Laundromat</t>
  </si>
  <si>
    <t xml:space="preserve">Ask at the Needs store next door.</t>
  </si>
  <si>
    <t xml:space="preserve">Daily 9–9</t>
  </si>
  <si>
    <t xml:space="preserve">Credit Union Rec Complex</t>
  </si>
  <si>
    <t xml:space="preserve">38 Gary Pearl Dr, Kentville, NS</t>
  </si>
  <si>
    <t xml:space="preserve">NSCC Kingstec Campus</t>
  </si>
  <si>
    <t xml:space="preserve">236 Belcher St, Kentville, NS</t>
  </si>
  <si>
    <t xml:space="preserve">College boards</t>
  </si>
  <si>
    <t xml:space="preserve">Student boards. Ask student services for an approval stamp.</t>
  </si>
  <si>
    <t xml:space="preserve">Atlantic Superstore</t>
  </si>
  <si>
    <t xml:space="preserve">9064 Commercial St, New Minas, NS</t>
  </si>
  <si>
    <t xml:space="preserve">Grocery board</t>
  </si>
  <si>
    <t xml:space="preserve">Community board near the entrance. Ask customer service.</t>
  </si>
  <si>
    <t xml:space="preserve">Daily 7–10</t>
  </si>
  <si>
    <t xml:space="preserve">Walmart Supercentre</t>
  </si>
  <si>
    <t xml:space="preserve">9097 Commercial St, New Minas, NS</t>
  </si>
  <si>
    <t xml:space="preserve">Store board</t>
  </si>
  <si>
    <t xml:space="preserve">Ask customer service whether there's a community board.</t>
  </si>
  <si>
    <t xml:space="preserve">Sobeys New Minas</t>
  </si>
  <si>
    <t xml:space="preserve">9256 Commercial St, New Minas, NS</t>
  </si>
  <si>
    <t xml:space="preserve">Community board by the doors. Ask customer service.</t>
  </si>
  <si>
    <t xml:space="preserve">M&amp;M Food Market</t>
  </si>
  <si>
    <t xml:space="preserve">Store</t>
  </si>
  <si>
    <t xml:space="preserve">Noggins Corner Farm Market</t>
  </si>
  <si>
    <t xml:space="preserve">10009 Hwy 1, Greenwich, NS</t>
  </si>
  <si>
    <t xml:space="preserve">Farm market</t>
  </si>
  <si>
    <t xml:space="preserve">Local producers sell here. Ask about the board.</t>
  </si>
  <si>
    <t xml:space="preserve">Daily 8–8</t>
  </si>
  <si>
    <t xml:space="preserve">Hennigar's Farm Market</t>
  </si>
  <si>
    <t xml:space="preserve">10272 Hwy 1, Wolfville, NS</t>
  </si>
  <si>
    <t xml:space="preserve">Wolfville</t>
  </si>
  <si>
    <t xml:space="preserve">Wolfville Farmers' Market</t>
  </si>
  <si>
    <t xml:space="preserve">24 Elm Ave, Wolfville, NS</t>
  </si>
  <si>
    <t xml:space="preserve">Apps poster on board + Apps take-one cards (small stack)</t>
  </si>
  <si>
    <t xml:space="preserve">Saturday mornings. Ask the market office about the board, then talk to vendors.</t>
  </si>
  <si>
    <t xml:space="preserve">Sat 8:30–1</t>
  </si>
  <si>
    <t xml:space="preserve">Wolfville Memorial Library</t>
  </si>
  <si>
    <t xml:space="preserve">21 Elm Ave, Wolfville, NS</t>
  </si>
  <si>
    <t xml:space="preserve">Community board inside. Ask staff.</t>
  </si>
  <si>
    <t xml:space="preserve">Tue–Sat</t>
  </si>
  <si>
    <t xml:space="preserve">Charts Café</t>
  </si>
  <si>
    <t xml:space="preserve">16 Elm Ave, Wolfville, NS</t>
  </si>
  <si>
    <t xml:space="preserve">Just Us! Wolfville Café</t>
  </si>
  <si>
    <t xml:space="preserve">450 Main St, Wolfville, NS</t>
  </si>
  <si>
    <t xml:space="preserve">T.A.N. Coffee Wolfville</t>
  </si>
  <si>
    <t xml:space="preserve">378 Main St, Wolfville, NS</t>
  </si>
  <si>
    <t xml:space="preserve">Royal Canadian Legion Branch 74</t>
  </si>
  <si>
    <t xml:space="preserve">310 Main St, Wolfville, NS</t>
  </si>
  <si>
    <t xml:space="preserve">Hall board. Ask a volunteer.</t>
  </si>
  <si>
    <t xml:space="preserve">Acadia Students' Union</t>
  </si>
  <si>
    <t xml:space="preserve">30 Highland Ave, Wolfville, NS</t>
  </si>
  <si>
    <t xml:space="preserve">University boards</t>
  </si>
  <si>
    <t xml:space="preserve">Poster rules apply. Ask at the front desk for a stamp.</t>
  </si>
  <si>
    <t xml:space="preserve">The Village Coffeehouse</t>
  </si>
  <si>
    <t xml:space="preserve">9844 Main St, Canning, NS</t>
  </si>
  <si>
    <t xml:space="preserve">Local gathering spot. Ask at the counter.</t>
  </si>
  <si>
    <t xml:space="preserve">Berwick and District Library</t>
  </si>
  <si>
    <t xml:space="preserve">236 Commercial St, Berwick, NS</t>
  </si>
  <si>
    <t xml:space="preserve">Community board. Ask staff.</t>
  </si>
  <si>
    <t xml:space="preserve">Foodland Berwick</t>
  </si>
  <si>
    <t xml:space="preserve">223 Commercial St, Berwick, NS</t>
  </si>
  <si>
    <t xml:space="preserve">Board near the entrance.</t>
  </si>
  <si>
    <t xml:space="preserve">Woodville</t>
  </si>
  <si>
    <t xml:space="preserve">Woodville Community Centre</t>
  </si>
  <si>
    <t xml:space="preserve">342 Bligh Rd, Woodville, NS</t>
  </si>
  <si>
    <t xml:space="preserve">Hall board.</t>
  </si>
  <si>
    <t xml:space="preserve">Varies</t>
  </si>
  <si>
    <t xml:space="preserve">Cambridge Community Centre</t>
  </si>
  <si>
    <t xml:space="preserve">5961 Hwy 1, Cambridge, NS</t>
  </si>
  <si>
    <t xml:space="preserve">Aylesford</t>
  </si>
  <si>
    <t xml:space="preserve">Dempsey Corner Orchards</t>
  </si>
  <si>
    <t xml:space="preserve">2717 NS-221, Aylesford, NS</t>
  </si>
  <si>
    <t xml:space="preserve">Ask about the board.</t>
  </si>
  <si>
    <t xml:space="preserve">Windsor</t>
  </si>
  <si>
    <t xml:space="preserve">Windsor Regional Library</t>
  </si>
  <si>
    <t xml:space="preserve">195 Albert St, Windsor, NS</t>
  </si>
  <si>
    <t xml:space="preserve">Gerrish &amp; Gray Cafe</t>
  </si>
  <si>
    <t xml:space="preserve">134 Gerrish St, Windsor, NS</t>
  </si>
  <si>
    <t xml:space="preserve">Falmouth</t>
  </si>
  <si>
    <t xml:space="preserve">Expedition Coffee Roasters</t>
  </si>
  <si>
    <t xml:space="preserve">1813 Hwy 1, Falmouth, NS</t>
  </si>
  <si>
    <t xml:space="preserve">Tue–Wed mornings</t>
  </si>
  <si>
    <t xml:space="preserve">Valley-wide</t>
  </si>
  <si>
    <t xml:space="preserve">Holiday craft fairs (Nov–Dec)</t>
  </si>
  <si>
    <t xml:space="preserve">Check novascotia.com holiday markets list + town Facebook pages</t>
  </si>
  <si>
    <t xml:space="preserve">Craft fair</t>
  </si>
  <si>
    <t xml:space="preserve">Best fit for Apps right now. Ask organisers if you can leave cards on the info table, or talk to vendors.</t>
  </si>
  <si>
    <t xml:space="preserve">Weekends Nov–Dec</t>
  </si>
  <si>
    <t xml:space="preserve">All stops (route)</t>
  </si>
  <si>
    <t xml:space="preserve">Every stop once, grouped by town in driving order (Kentville → New Minas → Wolfville → Canning → west → Windsor). Copy the Address column into your route planner with your Keegix stops.</t>
  </si>
  <si>
    <t xml:space="preserve">Print list</t>
  </si>
  <si>
    <t xml:space="preserve">Counts update from the 'All stops (route)' sheet. Change the blue numbers for more or fewer per stop, or more spares. Page numbers are in waypoint-flyers-print.pdf.</t>
  </si>
  <si>
    <t xml:space="preserve">Item</t>
  </si>
  <si>
    <t xml:space="preserve">Stops that need it</t>
  </si>
  <si>
    <t xml:space="preserve">Per stop</t>
  </si>
  <si>
    <t xml:space="preserve">Spares</t>
  </si>
  <si>
    <t xml:space="preserve">Pieces</t>
  </si>
  <si>
    <t xml:space="preserve">Per sheet</t>
  </si>
  <si>
    <t xml:space="preserve">Sheets to print</t>
  </si>
  <si>
    <t xml:space="preserve">Paper</t>
  </si>
  <si>
    <t xml:space="preserve">Sides</t>
  </si>
  <si>
    <t xml:space="preserve">Waypoint flyer A or B (Letter)</t>
  </si>
  <si>
    <t xml:space="preserve">One-sided</t>
  </si>
  <si>
    <t xml:space="preserve">Plain copy paper. PDF page 1 (A) or 2 (B).</t>
  </si>
  <si>
    <t xml:space="preserve">Waypoint counter cards (quarter-letter)</t>
  </si>
  <si>
    <t xml:space="preserve">Cardstock</t>
  </si>
  <si>
    <t xml:space="preserve">Two-sided, flip on long edge</t>
  </si>
  <si>
    <t xml:space="preserve">PDF pages 3 (front) and 4 (back). Cut on the dashed lines into 4.</t>
  </si>
  <si>
    <t xml:space="preserve">Apps poster A or B (Letter)</t>
  </si>
  <si>
    <t xml:space="preserve">Paper is fine on boards. PDF page 5 (A) or 6 (B).</t>
  </si>
  <si>
    <t xml:space="preserve">Apps take-one cards (quarter-letter)</t>
  </si>
  <si>
    <t xml:space="preserve">Cut on the crop marks. PDF page 7.</t>
  </si>
  <si>
    <t xml:space="preserve">Cardstock sheets (65 lb)</t>
  </si>
  <si>
    <t xml:space="preserve">Copy paper sheets</t>
  </si>
  <si>
    <t xml:space="preserve">Total sheets</t>
  </si>
  <si>
    <t xml:space="preserve">Bring</t>
  </si>
  <si>
    <t xml:space="preserve">• Pushpins and a roll of tape</t>
  </si>
  <si>
    <t xml:space="preserve">• Scissors or a paper trimmer for the cards</t>
  </si>
  <si>
    <t xml:space="preserve">• Your phone with app.waypointns.ca open, to show someone in 30 seconds</t>
  </si>
  <si>
    <t xml:space="preserve">• Ask first everywhere. Boards get cleared every 2–4 weeks, so re-post on the 1st of each month.</t>
  </si>
  <si>
    <t xml:space="preserve">Counter cards print on both sides: see 'How to print two-sided' in poster-run/README.md. Print one test sheet first.</t>
  </si>
  <si>
    <t xml:space="preserve">Addresses and hours come from Google Maps and earlier route notes (Oct 2026). Check hours before a long drive.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</si>
</sst>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252F"/>
      <name val="Arial"/>
      <family val="0"/>
      <charset val="1"/>
    </font>
    <font>
      <sz val="10"/>
      <color rgb="FF5A6B7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2252F"/>
      <name val="Arial"/>
      <family val="0"/>
      <charset val="1"/>
    </font>
    <font>
      <i val="true"/>
      <sz val="9"/>
      <color rgb="FF5A6B7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52F"/>
        <bgColor rgb="FF003300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225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2185B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C0"/>
      <rgbColor rgb="FF808080"/>
      <rgbColor rgb="FF9999FF"/>
      <rgbColor rgb="FFC2185B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2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6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J3" s="3" t="s">
        <v>2</v>
      </c>
      <c r="K3" s="4" t="str">
        <f aca="false">COUNTIF(K5:K32,"Y")&amp;" of "&amp;COUNTA(D5:D32)</f>
        <v>0 of 28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23.85" hidden="false" customHeight="false" outlineLevel="0" collapsed="false">
      <c r="A5" s="6" t="n">
        <v>1</v>
      </c>
      <c r="B5" s="6" t="s">
        <v>15</v>
      </c>
      <c r="C5" s="6" t="s">
        <v>16</v>
      </c>
      <c r="D5" s="7" t="s">
        <v>17</v>
      </c>
      <c r="E5" s="7" t="s">
        <v>18</v>
      </c>
      <c r="F5" s="6" t="s">
        <v>19</v>
      </c>
      <c r="G5" s="7" t="s">
        <v>20</v>
      </c>
      <c r="H5" s="7" t="s">
        <v>21</v>
      </c>
      <c r="I5" s="6" t="s">
        <v>22</v>
      </c>
      <c r="J5" s="8" t="n">
        <v>1</v>
      </c>
      <c r="K5" s="9"/>
      <c r="L5" s="7"/>
    </row>
    <row r="6" customFormat="false" ht="23.85" hidden="false" customHeight="false" outlineLevel="0" collapsed="false">
      <c r="A6" s="6" t="n">
        <v>2</v>
      </c>
      <c r="B6" s="6" t="s">
        <v>15</v>
      </c>
      <c r="C6" s="6" t="s">
        <v>16</v>
      </c>
      <c r="D6" s="7" t="s">
        <v>23</v>
      </c>
      <c r="E6" s="7" t="s">
        <v>18</v>
      </c>
      <c r="F6" s="6" t="s">
        <v>24</v>
      </c>
      <c r="G6" s="7" t="s">
        <v>25</v>
      </c>
      <c r="H6" s="7" t="s">
        <v>26</v>
      </c>
      <c r="I6" s="6" t="s">
        <v>22</v>
      </c>
      <c r="J6" s="8" t="n">
        <v>1</v>
      </c>
      <c r="K6" s="9"/>
      <c r="L6" s="7"/>
    </row>
    <row r="7" customFormat="false" ht="15" hidden="false" customHeight="false" outlineLevel="0" collapsed="false">
      <c r="A7" s="6" t="n">
        <v>3</v>
      </c>
      <c r="B7" s="6" t="s">
        <v>15</v>
      </c>
      <c r="C7" s="6" t="s">
        <v>16</v>
      </c>
      <c r="D7" s="7" t="s">
        <v>27</v>
      </c>
      <c r="E7" s="7" t="s">
        <v>18</v>
      </c>
      <c r="F7" s="6" t="s">
        <v>24</v>
      </c>
      <c r="G7" s="7" t="s">
        <v>25</v>
      </c>
      <c r="H7" s="7" t="s">
        <v>28</v>
      </c>
      <c r="I7" s="6" t="s">
        <v>29</v>
      </c>
      <c r="J7" s="8" t="n">
        <v>1</v>
      </c>
      <c r="K7" s="9"/>
      <c r="L7" s="7"/>
    </row>
    <row r="8" customFormat="false" ht="23.85" hidden="false" customHeight="false" outlineLevel="0" collapsed="false">
      <c r="A8" s="6" t="n">
        <v>4</v>
      </c>
      <c r="B8" s="6" t="s">
        <v>15</v>
      </c>
      <c r="C8" s="6" t="s">
        <v>16</v>
      </c>
      <c r="D8" s="7" t="s">
        <v>30</v>
      </c>
      <c r="E8" s="7" t="s">
        <v>31</v>
      </c>
      <c r="F8" s="6" t="s">
        <v>32</v>
      </c>
      <c r="G8" s="7" t="s">
        <v>33</v>
      </c>
      <c r="H8" s="7" t="s">
        <v>34</v>
      </c>
      <c r="I8" s="6" t="s">
        <v>35</v>
      </c>
      <c r="J8" s="8" t="n">
        <v>1</v>
      </c>
      <c r="K8" s="9"/>
      <c r="L8" s="7"/>
    </row>
    <row r="9" customFormat="false" ht="23.85" hidden="false" customHeight="false" outlineLevel="0" collapsed="false">
      <c r="A9" s="6" t="n">
        <v>5</v>
      </c>
      <c r="B9" s="6" t="s">
        <v>36</v>
      </c>
      <c r="C9" s="6" t="s">
        <v>16</v>
      </c>
      <c r="D9" s="7" t="s">
        <v>37</v>
      </c>
      <c r="E9" s="7" t="s">
        <v>38</v>
      </c>
      <c r="F9" s="6" t="s">
        <v>39</v>
      </c>
      <c r="G9" s="7" t="s">
        <v>40</v>
      </c>
      <c r="H9" s="7" t="s">
        <v>41</v>
      </c>
      <c r="I9" s="6" t="s">
        <v>22</v>
      </c>
      <c r="J9" s="6" t="n">
        <v>2</v>
      </c>
      <c r="K9" s="9"/>
      <c r="L9" s="7"/>
    </row>
    <row r="10" customFormat="false" ht="15" hidden="false" customHeight="false" outlineLevel="0" collapsed="false">
      <c r="A10" s="6" t="n">
        <v>6</v>
      </c>
      <c r="B10" s="6" t="s">
        <v>36</v>
      </c>
      <c r="C10" s="6" t="s">
        <v>16</v>
      </c>
      <c r="D10" s="7" t="s">
        <v>42</v>
      </c>
      <c r="E10" s="7" t="s">
        <v>43</v>
      </c>
      <c r="F10" s="6" t="s">
        <v>44</v>
      </c>
      <c r="G10" s="7" t="s">
        <v>40</v>
      </c>
      <c r="H10" s="7" t="s">
        <v>45</v>
      </c>
      <c r="I10" s="6" t="s">
        <v>22</v>
      </c>
      <c r="J10" s="6" t="n">
        <v>2</v>
      </c>
      <c r="K10" s="9"/>
      <c r="L10" s="7"/>
    </row>
    <row r="11" customFormat="false" ht="23.85" hidden="false" customHeight="false" outlineLevel="0" collapsed="false">
      <c r="A11" s="6" t="n">
        <v>7</v>
      </c>
      <c r="B11" s="6" t="s">
        <v>36</v>
      </c>
      <c r="C11" s="6" t="s">
        <v>16</v>
      </c>
      <c r="D11" s="7" t="s">
        <v>46</v>
      </c>
      <c r="E11" s="7" t="s">
        <v>47</v>
      </c>
      <c r="F11" s="6" t="s">
        <v>48</v>
      </c>
      <c r="G11" s="7" t="s">
        <v>49</v>
      </c>
      <c r="H11" s="7" t="s">
        <v>50</v>
      </c>
      <c r="I11" s="6" t="s">
        <v>51</v>
      </c>
      <c r="J11" s="8" t="n">
        <v>1</v>
      </c>
      <c r="K11" s="9"/>
      <c r="L11" s="7"/>
    </row>
    <row r="12" customFormat="false" ht="15" hidden="false" customHeight="false" outlineLevel="0" collapsed="false">
      <c r="A12" s="6" t="n">
        <v>8</v>
      </c>
      <c r="B12" s="6" t="s">
        <v>36</v>
      </c>
      <c r="C12" s="6" t="s">
        <v>16</v>
      </c>
      <c r="D12" s="7" t="s">
        <v>52</v>
      </c>
      <c r="E12" s="7" t="s">
        <v>53</v>
      </c>
      <c r="F12" s="6" t="s">
        <v>54</v>
      </c>
      <c r="G12" s="7" t="s">
        <v>40</v>
      </c>
      <c r="H12" s="7" t="s">
        <v>55</v>
      </c>
      <c r="I12" s="6" t="s">
        <v>56</v>
      </c>
      <c r="J12" s="8" t="n">
        <v>1</v>
      </c>
      <c r="K12" s="9"/>
      <c r="L12" s="7"/>
    </row>
    <row r="13" customFormat="false" ht="23.85" hidden="false" customHeight="false" outlineLevel="0" collapsed="false">
      <c r="A13" s="6" t="n">
        <v>9</v>
      </c>
      <c r="B13" s="6" t="s">
        <v>36</v>
      </c>
      <c r="C13" s="6" t="s">
        <v>57</v>
      </c>
      <c r="D13" s="7" t="s">
        <v>58</v>
      </c>
      <c r="E13" s="7" t="s">
        <v>59</v>
      </c>
      <c r="F13" s="6" t="s">
        <v>60</v>
      </c>
      <c r="G13" s="7" t="s">
        <v>49</v>
      </c>
      <c r="H13" s="7" t="s">
        <v>61</v>
      </c>
      <c r="I13" s="6" t="s">
        <v>56</v>
      </c>
      <c r="J13" s="8" t="n">
        <v>1</v>
      </c>
      <c r="K13" s="9"/>
      <c r="L13" s="7"/>
    </row>
    <row r="14" customFormat="false" ht="15" hidden="false" customHeight="false" outlineLevel="0" collapsed="false">
      <c r="A14" s="6" t="n">
        <v>10</v>
      </c>
      <c r="B14" s="6" t="s">
        <v>36</v>
      </c>
      <c r="C14" s="6" t="s">
        <v>57</v>
      </c>
      <c r="D14" s="7" t="s">
        <v>62</v>
      </c>
      <c r="E14" s="7" t="s">
        <v>63</v>
      </c>
      <c r="F14" s="6" t="s">
        <v>64</v>
      </c>
      <c r="G14" s="7" t="s">
        <v>40</v>
      </c>
      <c r="H14" s="7" t="s">
        <v>65</v>
      </c>
      <c r="I14" s="6" t="s">
        <v>56</v>
      </c>
      <c r="J14" s="6" t="n">
        <v>2</v>
      </c>
      <c r="K14" s="9"/>
      <c r="L14" s="7"/>
    </row>
    <row r="15" customFormat="false" ht="23.85" hidden="false" customHeight="false" outlineLevel="0" collapsed="false">
      <c r="A15" s="6" t="n">
        <v>11</v>
      </c>
      <c r="B15" s="6" t="s">
        <v>36</v>
      </c>
      <c r="C15" s="6" t="s">
        <v>16</v>
      </c>
      <c r="D15" s="7" t="s">
        <v>66</v>
      </c>
      <c r="E15" s="7" t="s">
        <v>67</v>
      </c>
      <c r="F15" s="6" t="s">
        <v>39</v>
      </c>
      <c r="G15" s="7" t="s">
        <v>40</v>
      </c>
      <c r="H15" s="7" t="s">
        <v>68</v>
      </c>
      <c r="I15" s="6" t="s">
        <v>35</v>
      </c>
      <c r="J15" s="6" t="n">
        <v>3</v>
      </c>
      <c r="K15" s="9"/>
      <c r="L15" s="7"/>
    </row>
    <row r="16" customFormat="false" ht="23.85" hidden="false" customHeight="false" outlineLevel="0" collapsed="false">
      <c r="A16" s="6" t="n">
        <v>12</v>
      </c>
      <c r="B16" s="6" t="s">
        <v>36</v>
      </c>
      <c r="C16" s="6" t="s">
        <v>69</v>
      </c>
      <c r="D16" s="7" t="s">
        <v>70</v>
      </c>
      <c r="E16" s="7" t="s">
        <v>71</v>
      </c>
      <c r="F16" s="6" t="s">
        <v>72</v>
      </c>
      <c r="G16" s="7" t="s">
        <v>49</v>
      </c>
      <c r="H16" s="7" t="s">
        <v>73</v>
      </c>
      <c r="I16" s="6" t="s">
        <v>74</v>
      </c>
      <c r="J16" s="8" t="n">
        <v>1</v>
      </c>
      <c r="K16" s="9"/>
      <c r="L16" s="7"/>
    </row>
    <row r="17" customFormat="false" ht="15" hidden="false" customHeight="false" outlineLevel="0" collapsed="false">
      <c r="A17" s="6" t="n">
        <v>13</v>
      </c>
      <c r="B17" s="6" t="s">
        <v>36</v>
      </c>
      <c r="C17" s="6" t="s">
        <v>69</v>
      </c>
      <c r="D17" s="7" t="s">
        <v>75</v>
      </c>
      <c r="E17" s="7" t="s">
        <v>76</v>
      </c>
      <c r="F17" s="6" t="s">
        <v>77</v>
      </c>
      <c r="G17" s="7" t="s">
        <v>40</v>
      </c>
      <c r="H17" s="7" t="s">
        <v>78</v>
      </c>
      <c r="I17" s="6" t="s">
        <v>79</v>
      </c>
      <c r="J17" s="6" t="n">
        <v>2</v>
      </c>
      <c r="K17" s="9"/>
      <c r="L17" s="7"/>
    </row>
    <row r="18" customFormat="false" ht="23.85" hidden="false" customHeight="false" outlineLevel="0" collapsed="false">
      <c r="A18" s="6" t="n">
        <v>14</v>
      </c>
      <c r="B18" s="6" t="s">
        <v>36</v>
      </c>
      <c r="C18" s="6" t="s">
        <v>69</v>
      </c>
      <c r="D18" s="7" t="s">
        <v>80</v>
      </c>
      <c r="E18" s="7" t="s">
        <v>81</v>
      </c>
      <c r="F18" s="6" t="s">
        <v>82</v>
      </c>
      <c r="G18" s="7" t="s">
        <v>83</v>
      </c>
      <c r="H18" s="7" t="s">
        <v>84</v>
      </c>
      <c r="I18" s="6" t="s">
        <v>85</v>
      </c>
      <c r="J18" s="6" t="n">
        <v>2</v>
      </c>
      <c r="K18" s="9"/>
      <c r="L18" s="7"/>
    </row>
    <row r="19" customFormat="false" ht="23.85" hidden="false" customHeight="false" outlineLevel="0" collapsed="false">
      <c r="A19" s="6" t="n">
        <v>15</v>
      </c>
      <c r="B19" s="6" t="s">
        <v>36</v>
      </c>
      <c r="C19" s="6" t="s">
        <v>69</v>
      </c>
      <c r="D19" s="7" t="s">
        <v>86</v>
      </c>
      <c r="E19" s="7" t="s">
        <v>87</v>
      </c>
      <c r="F19" s="6" t="s">
        <v>54</v>
      </c>
      <c r="G19" s="7" t="s">
        <v>49</v>
      </c>
      <c r="H19" s="7" t="s">
        <v>88</v>
      </c>
      <c r="I19" s="6" t="s">
        <v>51</v>
      </c>
      <c r="J19" s="8" t="n">
        <v>1</v>
      </c>
      <c r="K19" s="9"/>
      <c r="L19" s="7"/>
    </row>
    <row r="20" customFormat="false" ht="15" hidden="false" customHeight="false" outlineLevel="0" collapsed="false">
      <c r="A20" s="6" t="n">
        <v>16</v>
      </c>
      <c r="B20" s="6" t="s">
        <v>36</v>
      </c>
      <c r="C20" s="6" t="s">
        <v>69</v>
      </c>
      <c r="D20" s="7" t="s">
        <v>89</v>
      </c>
      <c r="E20" s="7" t="s">
        <v>90</v>
      </c>
      <c r="F20" s="6" t="s">
        <v>64</v>
      </c>
      <c r="G20" s="7" t="s">
        <v>40</v>
      </c>
      <c r="H20" s="7" t="s">
        <v>91</v>
      </c>
      <c r="I20" s="6" t="s">
        <v>56</v>
      </c>
      <c r="J20" s="6" t="n">
        <v>2</v>
      </c>
      <c r="K20" s="9"/>
      <c r="L20" s="7"/>
    </row>
    <row r="21" customFormat="false" ht="15" hidden="false" customHeight="false" outlineLevel="0" collapsed="false">
      <c r="A21" s="6" t="n">
        <v>17</v>
      </c>
      <c r="B21" s="6" t="s">
        <v>36</v>
      </c>
      <c r="C21" s="6" t="s">
        <v>69</v>
      </c>
      <c r="D21" s="7" t="s">
        <v>92</v>
      </c>
      <c r="E21" s="7" t="s">
        <v>93</v>
      </c>
      <c r="F21" s="6" t="s">
        <v>54</v>
      </c>
      <c r="G21" s="7" t="s">
        <v>40</v>
      </c>
      <c r="H21" s="7" t="s">
        <v>94</v>
      </c>
      <c r="I21" s="6" t="s">
        <v>51</v>
      </c>
      <c r="J21" s="6" t="n">
        <v>2</v>
      </c>
      <c r="K21" s="9"/>
      <c r="L21" s="7"/>
    </row>
    <row r="22" customFormat="false" ht="15" hidden="false" customHeight="false" outlineLevel="0" collapsed="false">
      <c r="A22" s="6" t="n">
        <v>18</v>
      </c>
      <c r="B22" s="6" t="s">
        <v>36</v>
      </c>
      <c r="C22" s="6" t="s">
        <v>69</v>
      </c>
      <c r="D22" s="7" t="s">
        <v>95</v>
      </c>
      <c r="E22" s="7" t="s">
        <v>96</v>
      </c>
      <c r="F22" s="6" t="s">
        <v>64</v>
      </c>
      <c r="G22" s="7" t="s">
        <v>40</v>
      </c>
      <c r="H22" s="7" t="s">
        <v>97</v>
      </c>
      <c r="I22" s="6" t="s">
        <v>56</v>
      </c>
      <c r="J22" s="6" t="n">
        <v>2</v>
      </c>
      <c r="K22" s="9"/>
      <c r="L22" s="7"/>
    </row>
    <row r="23" customFormat="false" ht="15" hidden="false" customHeight="false" outlineLevel="0" collapsed="false">
      <c r="A23" s="6" t="n">
        <v>19</v>
      </c>
      <c r="B23" s="6" t="s">
        <v>36</v>
      </c>
      <c r="C23" s="6" t="s">
        <v>69</v>
      </c>
      <c r="D23" s="7" t="s">
        <v>98</v>
      </c>
      <c r="E23" s="7" t="s">
        <v>99</v>
      </c>
      <c r="F23" s="6" t="s">
        <v>100</v>
      </c>
      <c r="G23" s="7" t="s">
        <v>40</v>
      </c>
      <c r="H23" s="7" t="s">
        <v>101</v>
      </c>
      <c r="I23" s="6" t="s">
        <v>79</v>
      </c>
      <c r="J23" s="6" t="n">
        <v>2</v>
      </c>
      <c r="K23" s="9"/>
      <c r="L23" s="7"/>
    </row>
    <row r="24" customFormat="false" ht="15" hidden="false" customHeight="false" outlineLevel="0" collapsed="false">
      <c r="A24" s="6" t="n">
        <v>20</v>
      </c>
      <c r="B24" s="6" t="s">
        <v>15</v>
      </c>
      <c r="C24" s="6" t="s">
        <v>69</v>
      </c>
      <c r="D24" s="7" t="s">
        <v>102</v>
      </c>
      <c r="E24" s="7" t="s">
        <v>103</v>
      </c>
      <c r="F24" s="6" t="s">
        <v>104</v>
      </c>
      <c r="G24" s="7" t="s">
        <v>25</v>
      </c>
      <c r="H24" s="7" t="s">
        <v>105</v>
      </c>
      <c r="I24" s="6" t="s">
        <v>51</v>
      </c>
      <c r="J24" s="6" t="n">
        <v>2</v>
      </c>
      <c r="K24" s="9"/>
      <c r="L24" s="7"/>
    </row>
    <row r="25" customFormat="false" ht="23.85" hidden="false" customHeight="false" outlineLevel="0" collapsed="false">
      <c r="A25" s="6" t="n">
        <v>21</v>
      </c>
      <c r="B25" s="6" t="s">
        <v>15</v>
      </c>
      <c r="C25" s="6" t="s">
        <v>69</v>
      </c>
      <c r="D25" s="7" t="s">
        <v>106</v>
      </c>
      <c r="E25" s="7" t="s">
        <v>107</v>
      </c>
      <c r="F25" s="6" t="s">
        <v>108</v>
      </c>
      <c r="G25" s="7" t="s">
        <v>109</v>
      </c>
      <c r="H25" s="7" t="s">
        <v>110</v>
      </c>
      <c r="I25" s="6" t="s">
        <v>56</v>
      </c>
      <c r="J25" s="8" t="n">
        <v>1</v>
      </c>
      <c r="K25" s="9"/>
      <c r="L25" s="7"/>
    </row>
    <row r="26" customFormat="false" ht="15" hidden="false" customHeight="false" outlineLevel="0" collapsed="false">
      <c r="A26" s="6" t="n">
        <v>22</v>
      </c>
      <c r="B26" s="6" t="s">
        <v>15</v>
      </c>
      <c r="C26" s="6" t="s">
        <v>69</v>
      </c>
      <c r="D26" s="7" t="s">
        <v>111</v>
      </c>
      <c r="E26" s="7" t="s">
        <v>112</v>
      </c>
      <c r="F26" s="6" t="s">
        <v>100</v>
      </c>
      <c r="G26" s="7" t="s">
        <v>25</v>
      </c>
      <c r="H26" s="7" t="s">
        <v>113</v>
      </c>
      <c r="I26" s="6" t="s">
        <v>51</v>
      </c>
      <c r="J26" s="8" t="n">
        <v>1</v>
      </c>
      <c r="K26" s="9"/>
      <c r="L26" s="7"/>
    </row>
    <row r="27" customFormat="false" ht="15" hidden="false" customHeight="false" outlineLevel="0" collapsed="false">
      <c r="A27" s="6" t="n">
        <v>23</v>
      </c>
      <c r="B27" s="6" t="s">
        <v>15</v>
      </c>
      <c r="C27" s="6" t="s">
        <v>69</v>
      </c>
      <c r="D27" s="7" t="s">
        <v>114</v>
      </c>
      <c r="E27" s="7" t="s">
        <v>115</v>
      </c>
      <c r="F27" s="6" t="s">
        <v>100</v>
      </c>
      <c r="G27" s="7" t="s">
        <v>25</v>
      </c>
      <c r="H27" s="7" t="s">
        <v>116</v>
      </c>
      <c r="I27" s="6" t="s">
        <v>117</v>
      </c>
      <c r="J27" s="8" t="n">
        <v>1</v>
      </c>
      <c r="K27" s="9"/>
      <c r="L27" s="7"/>
    </row>
    <row r="28" customFormat="false" ht="15" hidden="false" customHeight="false" outlineLevel="0" collapsed="false">
      <c r="A28" s="6" t="n">
        <v>24</v>
      </c>
      <c r="B28" s="6" t="s">
        <v>36</v>
      </c>
      <c r="C28" s="6" t="s">
        <v>69</v>
      </c>
      <c r="D28" s="7" t="s">
        <v>118</v>
      </c>
      <c r="E28" s="7" t="s">
        <v>119</v>
      </c>
      <c r="F28" s="6" t="s">
        <v>120</v>
      </c>
      <c r="G28" s="7" t="s">
        <v>40</v>
      </c>
      <c r="H28" s="7" t="s">
        <v>121</v>
      </c>
      <c r="I28" s="6" t="s">
        <v>122</v>
      </c>
      <c r="J28" s="6" t="n">
        <v>2</v>
      </c>
      <c r="K28" s="9"/>
      <c r="L28" s="7"/>
    </row>
    <row r="29" customFormat="false" ht="23.85" hidden="false" customHeight="false" outlineLevel="0" collapsed="false">
      <c r="A29" s="6" t="n">
        <v>25</v>
      </c>
      <c r="B29" s="6" t="s">
        <v>36</v>
      </c>
      <c r="C29" s="6" t="s">
        <v>123</v>
      </c>
      <c r="D29" s="7" t="s">
        <v>124</v>
      </c>
      <c r="E29" s="7" t="s">
        <v>125</v>
      </c>
      <c r="F29" s="6" t="s">
        <v>72</v>
      </c>
      <c r="G29" s="7" t="s">
        <v>49</v>
      </c>
      <c r="H29" s="7" t="s">
        <v>73</v>
      </c>
      <c r="I29" s="6" t="s">
        <v>74</v>
      </c>
      <c r="J29" s="8" t="n">
        <v>1</v>
      </c>
      <c r="K29" s="9"/>
      <c r="L29" s="7"/>
    </row>
    <row r="30" customFormat="false" ht="23.85" hidden="false" customHeight="false" outlineLevel="0" collapsed="false">
      <c r="A30" s="6" t="n">
        <v>26</v>
      </c>
      <c r="B30" s="6" t="s">
        <v>36</v>
      </c>
      <c r="C30" s="6" t="s">
        <v>126</v>
      </c>
      <c r="D30" s="7" t="s">
        <v>127</v>
      </c>
      <c r="E30" s="7" t="s">
        <v>128</v>
      </c>
      <c r="F30" s="6" t="s">
        <v>48</v>
      </c>
      <c r="G30" s="7" t="s">
        <v>49</v>
      </c>
      <c r="H30" s="7" t="s">
        <v>129</v>
      </c>
      <c r="I30" s="6" t="s">
        <v>56</v>
      </c>
      <c r="J30" s="6" t="n">
        <v>2</v>
      </c>
      <c r="K30" s="9"/>
      <c r="L30" s="7"/>
    </row>
    <row r="31" customFormat="false" ht="23.85" hidden="false" customHeight="false" outlineLevel="0" collapsed="false">
      <c r="A31" s="6" t="n">
        <v>27</v>
      </c>
      <c r="B31" s="6" t="s">
        <v>36</v>
      </c>
      <c r="C31" s="6" t="s">
        <v>130</v>
      </c>
      <c r="D31" s="7" t="s">
        <v>131</v>
      </c>
      <c r="E31" s="7" t="s">
        <v>132</v>
      </c>
      <c r="F31" s="6" t="s">
        <v>133</v>
      </c>
      <c r="G31" s="7" t="s">
        <v>49</v>
      </c>
      <c r="H31" s="7" t="s">
        <v>134</v>
      </c>
      <c r="I31" s="6" t="s">
        <v>51</v>
      </c>
      <c r="J31" s="6" t="n">
        <v>2</v>
      </c>
      <c r="K31" s="9"/>
      <c r="L31" s="7"/>
    </row>
    <row r="32" customFormat="false" ht="23.85" hidden="false" customHeight="false" outlineLevel="0" collapsed="false">
      <c r="A32" s="6" t="n">
        <v>28</v>
      </c>
      <c r="B32" s="6" t="s">
        <v>36</v>
      </c>
      <c r="C32" s="6" t="s">
        <v>135</v>
      </c>
      <c r="D32" s="7" t="s">
        <v>136</v>
      </c>
      <c r="E32" s="7" t="s">
        <v>137</v>
      </c>
      <c r="F32" s="6" t="s">
        <v>72</v>
      </c>
      <c r="G32" s="7" t="s">
        <v>49</v>
      </c>
      <c r="H32" s="7" t="s">
        <v>73</v>
      </c>
      <c r="I32" s="6" t="s">
        <v>138</v>
      </c>
      <c r="J32" s="6" t="n">
        <v>2</v>
      </c>
      <c r="K32" s="9"/>
      <c r="L32" s="7"/>
    </row>
  </sheetData>
  <autoFilter ref="A4:L32"/>
  <mergeCells count="1">
    <mergeCell ref="A2:L2"/>
  </mergeCells>
  <dataValidations count="1">
    <dataValidation allowBlank="true" errorStyle="stop" operator="between" showDropDown="false" showErrorMessage="false" showInputMessage="false" sqref="K5:K32" type="list">
      <formula1>"Y,"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6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J3" s="3" t="s">
        <v>2</v>
      </c>
      <c r="K3" s="4" t="str">
        <f aca="false">COUNTIF(K5:K45,"Y")&amp;" of "&amp;COUNTA(D5:D45)</f>
        <v>0 of 41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23.85" hidden="false" customHeight="false" outlineLevel="0" collapsed="false">
      <c r="A5" s="6" t="n">
        <v>1</v>
      </c>
      <c r="B5" s="6" t="s">
        <v>15</v>
      </c>
      <c r="C5" s="6" t="s">
        <v>16</v>
      </c>
      <c r="D5" s="7" t="s">
        <v>17</v>
      </c>
      <c r="E5" s="7" t="s">
        <v>18</v>
      </c>
      <c r="F5" s="6" t="s">
        <v>19</v>
      </c>
      <c r="G5" s="7" t="s">
        <v>20</v>
      </c>
      <c r="H5" s="7" t="s">
        <v>21</v>
      </c>
      <c r="I5" s="6" t="s">
        <v>22</v>
      </c>
      <c r="J5" s="8" t="n">
        <v>1</v>
      </c>
      <c r="K5" s="9"/>
      <c r="L5" s="7"/>
    </row>
    <row r="6" customFormat="false" ht="23.85" hidden="false" customHeight="false" outlineLevel="0" collapsed="false">
      <c r="A6" s="6" t="n">
        <v>2</v>
      </c>
      <c r="B6" s="6" t="s">
        <v>15</v>
      </c>
      <c r="C6" s="6" t="s">
        <v>16</v>
      </c>
      <c r="D6" s="7" t="s">
        <v>23</v>
      </c>
      <c r="E6" s="7" t="s">
        <v>18</v>
      </c>
      <c r="F6" s="6" t="s">
        <v>24</v>
      </c>
      <c r="G6" s="7" t="s">
        <v>25</v>
      </c>
      <c r="H6" s="7" t="s">
        <v>26</v>
      </c>
      <c r="I6" s="6" t="s">
        <v>22</v>
      </c>
      <c r="J6" s="8" t="n">
        <v>1</v>
      </c>
      <c r="K6" s="9"/>
      <c r="L6" s="7"/>
    </row>
    <row r="7" customFormat="false" ht="15" hidden="false" customHeight="false" outlineLevel="0" collapsed="false">
      <c r="A7" s="6" t="n">
        <v>3</v>
      </c>
      <c r="B7" s="6" t="s">
        <v>15</v>
      </c>
      <c r="C7" s="6" t="s">
        <v>16</v>
      </c>
      <c r="D7" s="7" t="s">
        <v>27</v>
      </c>
      <c r="E7" s="7" t="s">
        <v>18</v>
      </c>
      <c r="F7" s="6" t="s">
        <v>24</v>
      </c>
      <c r="G7" s="7" t="s">
        <v>25</v>
      </c>
      <c r="H7" s="7" t="s">
        <v>28</v>
      </c>
      <c r="I7" s="6" t="s">
        <v>29</v>
      </c>
      <c r="J7" s="8" t="n">
        <v>1</v>
      </c>
      <c r="K7" s="9"/>
      <c r="L7" s="7"/>
    </row>
    <row r="8" customFormat="false" ht="23.85" hidden="false" customHeight="false" outlineLevel="0" collapsed="false">
      <c r="A8" s="6" t="n">
        <v>4</v>
      </c>
      <c r="B8" s="6" t="s">
        <v>15</v>
      </c>
      <c r="C8" s="6" t="s">
        <v>16</v>
      </c>
      <c r="D8" s="7" t="s">
        <v>30</v>
      </c>
      <c r="E8" s="7" t="s">
        <v>31</v>
      </c>
      <c r="F8" s="6" t="s">
        <v>32</v>
      </c>
      <c r="G8" s="7" t="s">
        <v>33</v>
      </c>
      <c r="H8" s="7" t="s">
        <v>34</v>
      </c>
      <c r="I8" s="6" t="s">
        <v>35</v>
      </c>
      <c r="J8" s="8" t="n">
        <v>1</v>
      </c>
      <c r="K8" s="9"/>
      <c r="L8" s="7"/>
    </row>
    <row r="9" customFormat="false" ht="15" hidden="false" customHeight="false" outlineLevel="0" collapsed="false">
      <c r="A9" s="6" t="n">
        <v>5</v>
      </c>
      <c r="B9" s="6" t="s">
        <v>141</v>
      </c>
      <c r="C9" s="6" t="s">
        <v>16</v>
      </c>
      <c r="D9" s="7" t="s">
        <v>142</v>
      </c>
      <c r="E9" s="7" t="s">
        <v>143</v>
      </c>
      <c r="F9" s="6" t="s">
        <v>144</v>
      </c>
      <c r="G9" s="7" t="s">
        <v>145</v>
      </c>
      <c r="H9" s="7" t="s">
        <v>146</v>
      </c>
      <c r="I9" s="6" t="s">
        <v>147</v>
      </c>
      <c r="J9" s="8" t="n">
        <v>1</v>
      </c>
      <c r="K9" s="9"/>
      <c r="L9" s="7"/>
    </row>
    <row r="10" customFormat="false" ht="23.85" hidden="false" customHeight="false" outlineLevel="0" collapsed="false">
      <c r="A10" s="6" t="n">
        <v>6</v>
      </c>
      <c r="B10" s="6" t="s">
        <v>141</v>
      </c>
      <c r="C10" s="6" t="s">
        <v>16</v>
      </c>
      <c r="D10" s="7" t="s">
        <v>148</v>
      </c>
      <c r="E10" s="7" t="s">
        <v>149</v>
      </c>
      <c r="F10" s="6" t="s">
        <v>150</v>
      </c>
      <c r="G10" s="7" t="s">
        <v>151</v>
      </c>
      <c r="H10" s="7" t="s">
        <v>152</v>
      </c>
      <c r="I10" s="6" t="s">
        <v>153</v>
      </c>
      <c r="J10" s="8" t="n">
        <v>1</v>
      </c>
      <c r="K10" s="9"/>
      <c r="L10" s="7"/>
    </row>
    <row r="11" customFormat="false" ht="15" hidden="false" customHeight="false" outlineLevel="0" collapsed="false">
      <c r="A11" s="6" t="n">
        <v>7</v>
      </c>
      <c r="B11" s="6" t="s">
        <v>141</v>
      </c>
      <c r="C11" s="6" t="s">
        <v>16</v>
      </c>
      <c r="D11" s="7" t="s">
        <v>154</v>
      </c>
      <c r="E11" s="7" t="s">
        <v>155</v>
      </c>
      <c r="F11" s="6" t="s">
        <v>156</v>
      </c>
      <c r="G11" s="7" t="s">
        <v>151</v>
      </c>
      <c r="H11" s="7" t="s">
        <v>157</v>
      </c>
      <c r="I11" s="6" t="s">
        <v>56</v>
      </c>
      <c r="J11" s="6" t="n">
        <v>2</v>
      </c>
      <c r="K11" s="9"/>
      <c r="L11" s="7"/>
    </row>
    <row r="12" customFormat="false" ht="15" hidden="false" customHeight="false" outlineLevel="0" collapsed="false">
      <c r="A12" s="6" t="n">
        <v>8</v>
      </c>
      <c r="B12" s="6" t="s">
        <v>141</v>
      </c>
      <c r="C12" s="6" t="s">
        <v>16</v>
      </c>
      <c r="D12" s="7" t="s">
        <v>158</v>
      </c>
      <c r="E12" s="7" t="s">
        <v>159</v>
      </c>
      <c r="F12" s="6" t="s">
        <v>156</v>
      </c>
      <c r="G12" s="7" t="s">
        <v>151</v>
      </c>
      <c r="H12" s="7" t="s">
        <v>157</v>
      </c>
      <c r="I12" s="6" t="s">
        <v>160</v>
      </c>
      <c r="J12" s="6" t="n">
        <v>2</v>
      </c>
      <c r="K12" s="9"/>
      <c r="L12" s="7"/>
    </row>
    <row r="13" customFormat="false" ht="15" hidden="false" customHeight="false" outlineLevel="0" collapsed="false">
      <c r="A13" s="6" t="n">
        <v>9</v>
      </c>
      <c r="B13" s="6" t="s">
        <v>141</v>
      </c>
      <c r="C13" s="6" t="s">
        <v>16</v>
      </c>
      <c r="D13" s="7" t="s">
        <v>161</v>
      </c>
      <c r="E13" s="7" t="s">
        <v>162</v>
      </c>
      <c r="F13" s="6" t="s">
        <v>156</v>
      </c>
      <c r="G13" s="7" t="s">
        <v>151</v>
      </c>
      <c r="H13" s="7" t="s">
        <v>157</v>
      </c>
      <c r="I13" s="6" t="s">
        <v>51</v>
      </c>
      <c r="J13" s="6" t="n">
        <v>2</v>
      </c>
      <c r="K13" s="9"/>
      <c r="L13" s="7"/>
    </row>
    <row r="14" customFormat="false" ht="15" hidden="false" customHeight="false" outlineLevel="0" collapsed="false">
      <c r="A14" s="6" t="n">
        <v>10</v>
      </c>
      <c r="B14" s="6" t="s">
        <v>141</v>
      </c>
      <c r="C14" s="6" t="s">
        <v>16</v>
      </c>
      <c r="D14" s="7" t="s">
        <v>163</v>
      </c>
      <c r="E14" s="7" t="s">
        <v>164</v>
      </c>
      <c r="F14" s="6" t="s">
        <v>165</v>
      </c>
      <c r="G14" s="7" t="s">
        <v>145</v>
      </c>
      <c r="H14" s="7" t="s">
        <v>166</v>
      </c>
      <c r="I14" s="6" t="s">
        <v>22</v>
      </c>
      <c r="J14" s="6" t="n">
        <v>3</v>
      </c>
      <c r="K14" s="9"/>
      <c r="L14" s="7"/>
    </row>
    <row r="15" customFormat="false" ht="15" hidden="false" customHeight="false" outlineLevel="0" collapsed="false">
      <c r="A15" s="6" t="n">
        <v>11</v>
      </c>
      <c r="B15" s="6" t="s">
        <v>141</v>
      </c>
      <c r="C15" s="6" t="s">
        <v>16</v>
      </c>
      <c r="D15" s="7" t="s">
        <v>167</v>
      </c>
      <c r="E15" s="7" t="s">
        <v>168</v>
      </c>
      <c r="F15" s="6" t="s">
        <v>169</v>
      </c>
      <c r="G15" s="7" t="s">
        <v>145</v>
      </c>
      <c r="H15" s="7" t="s">
        <v>170</v>
      </c>
      <c r="I15" s="6" t="s">
        <v>171</v>
      </c>
      <c r="J15" s="6" t="n">
        <v>3</v>
      </c>
      <c r="K15" s="9"/>
      <c r="L15" s="7"/>
    </row>
    <row r="16" customFormat="false" ht="15" hidden="false" customHeight="false" outlineLevel="0" collapsed="false">
      <c r="A16" s="6" t="n">
        <v>12</v>
      </c>
      <c r="B16" s="6" t="s">
        <v>141</v>
      </c>
      <c r="C16" s="6" t="s">
        <v>16</v>
      </c>
      <c r="D16" s="7" t="s">
        <v>172</v>
      </c>
      <c r="E16" s="7" t="s">
        <v>173</v>
      </c>
      <c r="F16" s="6" t="s">
        <v>174</v>
      </c>
      <c r="G16" s="7" t="s">
        <v>145</v>
      </c>
      <c r="H16" s="7" t="s">
        <v>175</v>
      </c>
      <c r="I16" s="6" t="s">
        <v>176</v>
      </c>
      <c r="J16" s="6" t="n">
        <v>3</v>
      </c>
      <c r="K16" s="9"/>
      <c r="L16" s="7"/>
    </row>
    <row r="17" customFormat="false" ht="15" hidden="false" customHeight="false" outlineLevel="0" collapsed="false">
      <c r="A17" s="6" t="n">
        <v>13</v>
      </c>
      <c r="B17" s="6" t="s">
        <v>141</v>
      </c>
      <c r="C17" s="6" t="s">
        <v>16</v>
      </c>
      <c r="D17" s="7" t="s">
        <v>177</v>
      </c>
      <c r="E17" s="7" t="s">
        <v>178</v>
      </c>
      <c r="F17" s="6" t="s">
        <v>165</v>
      </c>
      <c r="G17" s="7" t="s">
        <v>145</v>
      </c>
      <c r="H17" s="7" t="s">
        <v>166</v>
      </c>
      <c r="I17" s="6" t="s">
        <v>35</v>
      </c>
      <c r="J17" s="6" t="n">
        <v>3</v>
      </c>
      <c r="K17" s="9"/>
      <c r="L17" s="7"/>
    </row>
    <row r="18" customFormat="false" ht="15" hidden="false" customHeight="false" outlineLevel="0" collapsed="false">
      <c r="A18" s="6" t="n">
        <v>14</v>
      </c>
      <c r="B18" s="6" t="s">
        <v>141</v>
      </c>
      <c r="C18" s="6" t="s">
        <v>16</v>
      </c>
      <c r="D18" s="7" t="s">
        <v>179</v>
      </c>
      <c r="E18" s="7" t="s">
        <v>180</v>
      </c>
      <c r="F18" s="6" t="s">
        <v>181</v>
      </c>
      <c r="G18" s="7" t="s">
        <v>145</v>
      </c>
      <c r="H18" s="7" t="s">
        <v>182</v>
      </c>
      <c r="I18" s="6" t="s">
        <v>56</v>
      </c>
      <c r="J18" s="6" t="n">
        <v>2</v>
      </c>
      <c r="K18" s="9"/>
      <c r="L18" s="7"/>
    </row>
    <row r="19" customFormat="false" ht="15" hidden="false" customHeight="false" outlineLevel="0" collapsed="false">
      <c r="A19" s="6" t="n">
        <v>15</v>
      </c>
      <c r="B19" s="6" t="s">
        <v>15</v>
      </c>
      <c r="C19" s="6" t="s">
        <v>69</v>
      </c>
      <c r="D19" s="7" t="s">
        <v>102</v>
      </c>
      <c r="E19" s="7" t="s">
        <v>103</v>
      </c>
      <c r="F19" s="6" t="s">
        <v>104</v>
      </c>
      <c r="G19" s="7" t="s">
        <v>25</v>
      </c>
      <c r="H19" s="7" t="s">
        <v>105</v>
      </c>
      <c r="I19" s="6" t="s">
        <v>51</v>
      </c>
      <c r="J19" s="6" t="n">
        <v>2</v>
      </c>
      <c r="K19" s="9"/>
      <c r="L19" s="7"/>
    </row>
    <row r="20" customFormat="false" ht="23.85" hidden="false" customHeight="false" outlineLevel="0" collapsed="false">
      <c r="A20" s="6" t="n">
        <v>16</v>
      </c>
      <c r="B20" s="6" t="s">
        <v>15</v>
      </c>
      <c r="C20" s="6" t="s">
        <v>69</v>
      </c>
      <c r="D20" s="7" t="s">
        <v>106</v>
      </c>
      <c r="E20" s="7" t="s">
        <v>107</v>
      </c>
      <c r="F20" s="6" t="s">
        <v>108</v>
      </c>
      <c r="G20" s="7" t="s">
        <v>109</v>
      </c>
      <c r="H20" s="7" t="s">
        <v>110</v>
      </c>
      <c r="I20" s="6" t="s">
        <v>56</v>
      </c>
      <c r="J20" s="8" t="n">
        <v>1</v>
      </c>
      <c r="K20" s="9"/>
      <c r="L20" s="7"/>
    </row>
    <row r="21" customFormat="false" ht="15" hidden="false" customHeight="false" outlineLevel="0" collapsed="false">
      <c r="A21" s="6" t="n">
        <v>17</v>
      </c>
      <c r="B21" s="6" t="s">
        <v>141</v>
      </c>
      <c r="C21" s="6" t="s">
        <v>69</v>
      </c>
      <c r="D21" s="7" t="s">
        <v>183</v>
      </c>
      <c r="E21" s="7" t="s">
        <v>184</v>
      </c>
      <c r="F21" s="6" t="s">
        <v>185</v>
      </c>
      <c r="G21" s="7" t="s">
        <v>145</v>
      </c>
      <c r="H21" s="7" t="s">
        <v>186</v>
      </c>
      <c r="I21" s="6" t="s">
        <v>187</v>
      </c>
      <c r="J21" s="8" t="n">
        <v>1</v>
      </c>
      <c r="K21" s="9"/>
      <c r="L21" s="7"/>
    </row>
    <row r="22" customFormat="false" ht="15" hidden="false" customHeight="false" outlineLevel="0" collapsed="false">
      <c r="A22" s="6" t="n">
        <v>18</v>
      </c>
      <c r="B22" s="6" t="s">
        <v>15</v>
      </c>
      <c r="C22" s="6" t="s">
        <v>69</v>
      </c>
      <c r="D22" s="7" t="s">
        <v>111</v>
      </c>
      <c r="E22" s="7" t="s">
        <v>112</v>
      </c>
      <c r="F22" s="6" t="s">
        <v>100</v>
      </c>
      <c r="G22" s="7" t="s">
        <v>25</v>
      </c>
      <c r="H22" s="7" t="s">
        <v>113</v>
      </c>
      <c r="I22" s="6" t="s">
        <v>51</v>
      </c>
      <c r="J22" s="8" t="n">
        <v>1</v>
      </c>
      <c r="K22" s="9"/>
      <c r="L22" s="7"/>
    </row>
    <row r="23" customFormat="false" ht="15" hidden="false" customHeight="false" outlineLevel="0" collapsed="false">
      <c r="A23" s="6" t="n">
        <v>19</v>
      </c>
      <c r="B23" s="6" t="s">
        <v>141</v>
      </c>
      <c r="C23" s="6" t="s">
        <v>69</v>
      </c>
      <c r="D23" s="7" t="s">
        <v>188</v>
      </c>
      <c r="E23" s="7" t="s">
        <v>189</v>
      </c>
      <c r="F23" s="6" t="s">
        <v>190</v>
      </c>
      <c r="G23" s="7" t="s">
        <v>145</v>
      </c>
      <c r="H23" s="7" t="s">
        <v>191</v>
      </c>
      <c r="I23" s="6" t="s">
        <v>187</v>
      </c>
      <c r="J23" s="6" t="n">
        <v>2</v>
      </c>
      <c r="K23" s="9"/>
      <c r="L23" s="7"/>
    </row>
    <row r="24" customFormat="false" ht="15" hidden="false" customHeight="false" outlineLevel="0" collapsed="false">
      <c r="A24" s="6" t="n">
        <v>20</v>
      </c>
      <c r="B24" s="6" t="s">
        <v>15</v>
      </c>
      <c r="C24" s="6" t="s">
        <v>69</v>
      </c>
      <c r="D24" s="7" t="s">
        <v>114</v>
      </c>
      <c r="E24" s="7" t="s">
        <v>115</v>
      </c>
      <c r="F24" s="6" t="s">
        <v>100</v>
      </c>
      <c r="G24" s="7" t="s">
        <v>25</v>
      </c>
      <c r="H24" s="7" t="s">
        <v>116</v>
      </c>
      <c r="I24" s="6" t="s">
        <v>117</v>
      </c>
      <c r="J24" s="8" t="n">
        <v>1</v>
      </c>
      <c r="K24" s="9"/>
      <c r="L24" s="7"/>
    </row>
    <row r="25" customFormat="false" ht="15" hidden="false" customHeight="false" outlineLevel="0" collapsed="false">
      <c r="A25" s="6" t="n">
        <v>21</v>
      </c>
      <c r="B25" s="6" t="s">
        <v>141</v>
      </c>
      <c r="C25" s="6" t="s">
        <v>69</v>
      </c>
      <c r="D25" s="7" t="s">
        <v>192</v>
      </c>
      <c r="E25" s="7" t="s">
        <v>193</v>
      </c>
      <c r="F25" s="6" t="s">
        <v>185</v>
      </c>
      <c r="G25" s="7" t="s">
        <v>145</v>
      </c>
      <c r="H25" s="7" t="s">
        <v>194</v>
      </c>
      <c r="I25" s="6" t="s">
        <v>187</v>
      </c>
      <c r="J25" s="8" t="n">
        <v>1</v>
      </c>
      <c r="K25" s="9"/>
      <c r="L25" s="7"/>
    </row>
    <row r="26" customFormat="false" ht="15" hidden="false" customHeight="false" outlineLevel="0" collapsed="false">
      <c r="A26" s="6" t="n">
        <v>22</v>
      </c>
      <c r="B26" s="6" t="s">
        <v>141</v>
      </c>
      <c r="C26" s="6" t="s">
        <v>69</v>
      </c>
      <c r="D26" s="7" t="s">
        <v>195</v>
      </c>
      <c r="E26" s="7" t="s">
        <v>193</v>
      </c>
      <c r="F26" s="6" t="s">
        <v>196</v>
      </c>
      <c r="G26" s="7" t="s">
        <v>151</v>
      </c>
      <c r="H26" s="7" t="s">
        <v>157</v>
      </c>
      <c r="I26" s="6" t="s">
        <v>51</v>
      </c>
      <c r="J26" s="6" t="n">
        <v>3</v>
      </c>
      <c r="K26" s="9"/>
      <c r="L26" s="7"/>
    </row>
    <row r="27" customFormat="false" ht="15" hidden="false" customHeight="false" outlineLevel="0" collapsed="false">
      <c r="A27" s="6" t="n">
        <v>23</v>
      </c>
      <c r="B27" s="6" t="s">
        <v>141</v>
      </c>
      <c r="C27" s="6" t="s">
        <v>123</v>
      </c>
      <c r="D27" s="7" t="s">
        <v>197</v>
      </c>
      <c r="E27" s="7" t="s">
        <v>198</v>
      </c>
      <c r="F27" s="6" t="s">
        <v>199</v>
      </c>
      <c r="G27" s="7" t="s">
        <v>145</v>
      </c>
      <c r="H27" s="7" t="s">
        <v>200</v>
      </c>
      <c r="I27" s="6" t="s">
        <v>201</v>
      </c>
      <c r="J27" s="6" t="n">
        <v>2</v>
      </c>
      <c r="K27" s="9"/>
      <c r="L27" s="7"/>
    </row>
    <row r="28" customFormat="false" ht="15" hidden="false" customHeight="false" outlineLevel="0" collapsed="false">
      <c r="A28" s="6" t="n">
        <v>24</v>
      </c>
      <c r="B28" s="6" t="s">
        <v>141</v>
      </c>
      <c r="C28" s="6" t="s">
        <v>123</v>
      </c>
      <c r="D28" s="7" t="s">
        <v>202</v>
      </c>
      <c r="E28" s="7" t="s">
        <v>203</v>
      </c>
      <c r="F28" s="6" t="s">
        <v>199</v>
      </c>
      <c r="G28" s="7" t="s">
        <v>145</v>
      </c>
      <c r="H28" s="7" t="s">
        <v>200</v>
      </c>
      <c r="I28" s="6" t="s">
        <v>201</v>
      </c>
      <c r="J28" s="6" t="n">
        <v>2</v>
      </c>
      <c r="K28" s="9"/>
      <c r="L28" s="7"/>
    </row>
    <row r="29" customFormat="false" ht="23.85" hidden="false" customHeight="false" outlineLevel="0" collapsed="false">
      <c r="A29" s="6" t="n">
        <v>25</v>
      </c>
      <c r="B29" s="6" t="s">
        <v>141</v>
      </c>
      <c r="C29" s="6" t="s">
        <v>204</v>
      </c>
      <c r="D29" s="7" t="s">
        <v>205</v>
      </c>
      <c r="E29" s="7" t="s">
        <v>206</v>
      </c>
      <c r="F29" s="6" t="s">
        <v>150</v>
      </c>
      <c r="G29" s="7" t="s">
        <v>207</v>
      </c>
      <c r="H29" s="7" t="s">
        <v>208</v>
      </c>
      <c r="I29" s="6" t="s">
        <v>209</v>
      </c>
      <c r="J29" s="8" t="n">
        <v>1</v>
      </c>
      <c r="K29" s="9"/>
      <c r="L29" s="7"/>
    </row>
    <row r="30" customFormat="false" ht="15" hidden="false" customHeight="false" outlineLevel="0" collapsed="false">
      <c r="A30" s="6" t="n">
        <v>26</v>
      </c>
      <c r="B30" s="6" t="s">
        <v>141</v>
      </c>
      <c r="C30" s="6" t="s">
        <v>204</v>
      </c>
      <c r="D30" s="7" t="s">
        <v>210</v>
      </c>
      <c r="E30" s="7" t="s">
        <v>211</v>
      </c>
      <c r="F30" s="6" t="s">
        <v>144</v>
      </c>
      <c r="G30" s="7" t="s">
        <v>145</v>
      </c>
      <c r="H30" s="7" t="s">
        <v>212</v>
      </c>
      <c r="I30" s="6" t="s">
        <v>213</v>
      </c>
      <c r="J30" s="8" t="n">
        <v>1</v>
      </c>
      <c r="K30" s="9"/>
      <c r="L30" s="7"/>
    </row>
    <row r="31" customFormat="false" ht="15" hidden="false" customHeight="false" outlineLevel="0" collapsed="false">
      <c r="A31" s="6" t="n">
        <v>27</v>
      </c>
      <c r="B31" s="6" t="s">
        <v>141</v>
      </c>
      <c r="C31" s="6" t="s">
        <v>204</v>
      </c>
      <c r="D31" s="7" t="s">
        <v>214</v>
      </c>
      <c r="E31" s="7" t="s">
        <v>215</v>
      </c>
      <c r="F31" s="6" t="s">
        <v>156</v>
      </c>
      <c r="G31" s="7" t="s">
        <v>151</v>
      </c>
      <c r="H31" s="7" t="s">
        <v>157</v>
      </c>
      <c r="I31" s="6" t="s">
        <v>51</v>
      </c>
      <c r="J31" s="6" t="n">
        <v>2</v>
      </c>
      <c r="K31" s="9"/>
      <c r="L31" s="7"/>
    </row>
    <row r="32" customFormat="false" ht="15" hidden="false" customHeight="false" outlineLevel="0" collapsed="false">
      <c r="A32" s="6" t="n">
        <v>28</v>
      </c>
      <c r="B32" s="6" t="s">
        <v>141</v>
      </c>
      <c r="C32" s="6" t="s">
        <v>204</v>
      </c>
      <c r="D32" s="7" t="s">
        <v>216</v>
      </c>
      <c r="E32" s="7" t="s">
        <v>217</v>
      </c>
      <c r="F32" s="6" t="s">
        <v>156</v>
      </c>
      <c r="G32" s="7" t="s">
        <v>151</v>
      </c>
      <c r="H32" s="7" t="s">
        <v>157</v>
      </c>
      <c r="I32" s="6" t="s">
        <v>51</v>
      </c>
      <c r="J32" s="6" t="n">
        <v>2</v>
      </c>
      <c r="K32" s="9"/>
      <c r="L32" s="7"/>
    </row>
    <row r="33" customFormat="false" ht="15" hidden="false" customHeight="false" outlineLevel="0" collapsed="false">
      <c r="A33" s="6" t="n">
        <v>29</v>
      </c>
      <c r="B33" s="6" t="s">
        <v>141</v>
      </c>
      <c r="C33" s="6" t="s">
        <v>204</v>
      </c>
      <c r="D33" s="7" t="s">
        <v>218</v>
      </c>
      <c r="E33" s="7" t="s">
        <v>219</v>
      </c>
      <c r="F33" s="6" t="s">
        <v>156</v>
      </c>
      <c r="G33" s="7" t="s">
        <v>151</v>
      </c>
      <c r="H33" s="7" t="s">
        <v>157</v>
      </c>
      <c r="I33" s="6" t="s">
        <v>51</v>
      </c>
      <c r="J33" s="6" t="n">
        <v>2</v>
      </c>
      <c r="K33" s="9"/>
      <c r="L33" s="7"/>
    </row>
    <row r="34" customFormat="false" ht="15" hidden="false" customHeight="false" outlineLevel="0" collapsed="false">
      <c r="A34" s="6" t="n">
        <v>30</v>
      </c>
      <c r="B34" s="6" t="s">
        <v>141</v>
      </c>
      <c r="C34" s="6" t="s">
        <v>204</v>
      </c>
      <c r="D34" s="7" t="s">
        <v>220</v>
      </c>
      <c r="E34" s="7" t="s">
        <v>221</v>
      </c>
      <c r="F34" s="6" t="s">
        <v>169</v>
      </c>
      <c r="G34" s="7" t="s">
        <v>145</v>
      </c>
      <c r="H34" s="7" t="s">
        <v>222</v>
      </c>
      <c r="I34" s="6" t="s">
        <v>213</v>
      </c>
      <c r="J34" s="6" t="n">
        <v>3</v>
      </c>
      <c r="K34" s="9"/>
      <c r="L34" s="7"/>
    </row>
    <row r="35" customFormat="false" ht="15" hidden="false" customHeight="false" outlineLevel="0" collapsed="false">
      <c r="A35" s="6" t="n">
        <v>31</v>
      </c>
      <c r="B35" s="6" t="s">
        <v>141</v>
      </c>
      <c r="C35" s="6" t="s">
        <v>204</v>
      </c>
      <c r="D35" s="7" t="s">
        <v>223</v>
      </c>
      <c r="E35" s="7" t="s">
        <v>224</v>
      </c>
      <c r="F35" s="6" t="s">
        <v>225</v>
      </c>
      <c r="G35" s="7" t="s">
        <v>145</v>
      </c>
      <c r="H35" s="7" t="s">
        <v>226</v>
      </c>
      <c r="I35" s="6" t="s">
        <v>51</v>
      </c>
      <c r="J35" s="6" t="n">
        <v>2</v>
      </c>
      <c r="K35" s="9"/>
      <c r="L35" s="7"/>
    </row>
    <row r="36" customFormat="false" ht="15" hidden="false" customHeight="false" outlineLevel="0" collapsed="false">
      <c r="A36" s="6" t="n">
        <v>32</v>
      </c>
      <c r="B36" s="6" t="s">
        <v>141</v>
      </c>
      <c r="C36" s="6" t="s">
        <v>126</v>
      </c>
      <c r="D36" s="7" t="s">
        <v>227</v>
      </c>
      <c r="E36" s="7" t="s">
        <v>228</v>
      </c>
      <c r="F36" s="6" t="s">
        <v>156</v>
      </c>
      <c r="G36" s="7" t="s">
        <v>151</v>
      </c>
      <c r="H36" s="7" t="s">
        <v>229</v>
      </c>
      <c r="I36" s="6" t="s">
        <v>56</v>
      </c>
      <c r="J36" s="6" t="n">
        <v>3</v>
      </c>
      <c r="K36" s="9"/>
      <c r="L36" s="7"/>
    </row>
    <row r="37" customFormat="false" ht="15" hidden="false" customHeight="false" outlineLevel="0" collapsed="false">
      <c r="A37" s="6" t="n">
        <v>33</v>
      </c>
      <c r="B37" s="6" t="s">
        <v>141</v>
      </c>
      <c r="C37" s="6" t="s">
        <v>130</v>
      </c>
      <c r="D37" s="7" t="s">
        <v>230</v>
      </c>
      <c r="E37" s="7" t="s">
        <v>231</v>
      </c>
      <c r="F37" s="6" t="s">
        <v>144</v>
      </c>
      <c r="G37" s="7" t="s">
        <v>145</v>
      </c>
      <c r="H37" s="7" t="s">
        <v>232</v>
      </c>
      <c r="I37" s="6" t="s">
        <v>213</v>
      </c>
      <c r="J37" s="6" t="n">
        <v>2</v>
      </c>
      <c r="K37" s="9"/>
      <c r="L37" s="7"/>
    </row>
    <row r="38" customFormat="false" ht="15" hidden="false" customHeight="false" outlineLevel="0" collapsed="false">
      <c r="A38" s="6" t="n">
        <v>34</v>
      </c>
      <c r="B38" s="6" t="s">
        <v>141</v>
      </c>
      <c r="C38" s="6" t="s">
        <v>130</v>
      </c>
      <c r="D38" s="7" t="s">
        <v>233</v>
      </c>
      <c r="E38" s="7" t="s">
        <v>234</v>
      </c>
      <c r="F38" s="6" t="s">
        <v>185</v>
      </c>
      <c r="G38" s="7" t="s">
        <v>145</v>
      </c>
      <c r="H38" s="7" t="s">
        <v>235</v>
      </c>
      <c r="I38" s="6" t="s">
        <v>51</v>
      </c>
      <c r="J38" s="6" t="n">
        <v>2</v>
      </c>
      <c r="K38" s="9"/>
      <c r="L38" s="7"/>
    </row>
    <row r="39" customFormat="false" ht="15" hidden="false" customHeight="false" outlineLevel="0" collapsed="false">
      <c r="A39" s="6" t="n">
        <v>35</v>
      </c>
      <c r="B39" s="6" t="s">
        <v>141</v>
      </c>
      <c r="C39" s="6" t="s">
        <v>236</v>
      </c>
      <c r="D39" s="7" t="s">
        <v>237</v>
      </c>
      <c r="E39" s="7" t="s">
        <v>238</v>
      </c>
      <c r="F39" s="6" t="s">
        <v>165</v>
      </c>
      <c r="G39" s="7" t="s">
        <v>145</v>
      </c>
      <c r="H39" s="7" t="s">
        <v>239</v>
      </c>
      <c r="I39" s="6" t="s">
        <v>240</v>
      </c>
      <c r="J39" s="6" t="n">
        <v>3</v>
      </c>
      <c r="K39" s="9"/>
      <c r="L39" s="7"/>
    </row>
    <row r="40" customFormat="false" ht="15" hidden="false" customHeight="false" outlineLevel="0" collapsed="false">
      <c r="A40" s="6" t="n">
        <v>36</v>
      </c>
      <c r="B40" s="6" t="s">
        <v>141</v>
      </c>
      <c r="C40" s="6" t="s">
        <v>135</v>
      </c>
      <c r="D40" s="7" t="s">
        <v>241</v>
      </c>
      <c r="E40" s="7" t="s">
        <v>242</v>
      </c>
      <c r="F40" s="6" t="s">
        <v>165</v>
      </c>
      <c r="G40" s="7" t="s">
        <v>145</v>
      </c>
      <c r="H40" s="7" t="s">
        <v>239</v>
      </c>
      <c r="I40" s="6" t="s">
        <v>240</v>
      </c>
      <c r="J40" s="6" t="n">
        <v>3</v>
      </c>
      <c r="K40" s="9"/>
      <c r="L40" s="7"/>
    </row>
    <row r="41" customFormat="false" ht="15" hidden="false" customHeight="false" outlineLevel="0" collapsed="false">
      <c r="A41" s="6" t="n">
        <v>37</v>
      </c>
      <c r="B41" s="6" t="s">
        <v>141</v>
      </c>
      <c r="C41" s="6" t="s">
        <v>243</v>
      </c>
      <c r="D41" s="7" t="s">
        <v>244</v>
      </c>
      <c r="E41" s="7" t="s">
        <v>245</v>
      </c>
      <c r="F41" s="6" t="s">
        <v>199</v>
      </c>
      <c r="G41" s="7" t="s">
        <v>145</v>
      </c>
      <c r="H41" s="7" t="s">
        <v>246</v>
      </c>
      <c r="I41" s="6" t="s">
        <v>56</v>
      </c>
      <c r="J41" s="6" t="n">
        <v>3</v>
      </c>
      <c r="K41" s="9"/>
      <c r="L41" s="7"/>
    </row>
    <row r="42" customFormat="false" ht="15" hidden="false" customHeight="false" outlineLevel="0" collapsed="false">
      <c r="A42" s="6" t="n">
        <v>38</v>
      </c>
      <c r="B42" s="6" t="s">
        <v>141</v>
      </c>
      <c r="C42" s="6" t="s">
        <v>247</v>
      </c>
      <c r="D42" s="7" t="s">
        <v>248</v>
      </c>
      <c r="E42" s="7" t="s">
        <v>249</v>
      </c>
      <c r="F42" s="6" t="s">
        <v>144</v>
      </c>
      <c r="G42" s="7" t="s">
        <v>145</v>
      </c>
      <c r="H42" s="7" t="s">
        <v>232</v>
      </c>
      <c r="I42" s="6" t="s">
        <v>213</v>
      </c>
      <c r="J42" s="6" t="n">
        <v>2</v>
      </c>
      <c r="K42" s="9"/>
      <c r="L42" s="7"/>
    </row>
    <row r="43" customFormat="false" ht="15" hidden="false" customHeight="false" outlineLevel="0" collapsed="false">
      <c r="A43" s="6" t="n">
        <v>39</v>
      </c>
      <c r="B43" s="6" t="s">
        <v>141</v>
      </c>
      <c r="C43" s="6" t="s">
        <v>247</v>
      </c>
      <c r="D43" s="7" t="s">
        <v>250</v>
      </c>
      <c r="E43" s="7" t="s">
        <v>251</v>
      </c>
      <c r="F43" s="6" t="s">
        <v>156</v>
      </c>
      <c r="G43" s="7" t="s">
        <v>151</v>
      </c>
      <c r="H43" s="7" t="s">
        <v>157</v>
      </c>
      <c r="I43" s="6" t="s">
        <v>51</v>
      </c>
      <c r="J43" s="6" t="n">
        <v>3</v>
      </c>
      <c r="K43" s="9"/>
      <c r="L43" s="7"/>
    </row>
    <row r="44" customFormat="false" ht="15" hidden="false" customHeight="false" outlineLevel="0" collapsed="false">
      <c r="A44" s="6" t="n">
        <v>40</v>
      </c>
      <c r="B44" s="6" t="s">
        <v>141</v>
      </c>
      <c r="C44" s="6" t="s">
        <v>252</v>
      </c>
      <c r="D44" s="7" t="s">
        <v>253</v>
      </c>
      <c r="E44" s="7" t="s">
        <v>254</v>
      </c>
      <c r="F44" s="6" t="s">
        <v>156</v>
      </c>
      <c r="G44" s="7" t="s">
        <v>151</v>
      </c>
      <c r="H44" s="7" t="s">
        <v>157</v>
      </c>
      <c r="I44" s="6" t="s">
        <v>255</v>
      </c>
      <c r="J44" s="6" t="n">
        <v>3</v>
      </c>
      <c r="K44" s="9"/>
      <c r="L44" s="7"/>
    </row>
    <row r="45" customFormat="false" ht="23.85" hidden="false" customHeight="false" outlineLevel="0" collapsed="false">
      <c r="A45" s="6" t="n">
        <v>41</v>
      </c>
      <c r="B45" s="6" t="s">
        <v>141</v>
      </c>
      <c r="C45" s="6" t="s">
        <v>256</v>
      </c>
      <c r="D45" s="7" t="s">
        <v>257</v>
      </c>
      <c r="E45" s="7" t="s">
        <v>258</v>
      </c>
      <c r="F45" s="6" t="s">
        <v>259</v>
      </c>
      <c r="G45" s="7" t="s">
        <v>151</v>
      </c>
      <c r="H45" s="7" t="s">
        <v>260</v>
      </c>
      <c r="I45" s="6" t="s">
        <v>261</v>
      </c>
      <c r="J45" s="8" t="n">
        <v>1</v>
      </c>
      <c r="K45" s="9"/>
      <c r="L45" s="7"/>
    </row>
  </sheetData>
  <autoFilter ref="A4:L45"/>
  <mergeCells count="1">
    <mergeCell ref="A2:L2"/>
  </mergeCells>
  <dataValidations count="1">
    <dataValidation allowBlank="true" errorStyle="stop" operator="between" showDropDown="false" showErrorMessage="false" showInputMessage="false" sqref="K5:K45" type="list">
      <formula1>"Y,"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6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J3" s="3" t="s">
        <v>2</v>
      </c>
      <c r="K3" s="4" t="str">
        <f aca="false">COUNTIF(K5:K65,"Y")&amp;" of "&amp;COUNTA(D5:D65)</f>
        <v>0 of 61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23.85" hidden="false" customHeight="false" outlineLevel="0" collapsed="false">
      <c r="A5" s="6" t="n">
        <v>1</v>
      </c>
      <c r="B5" s="6" t="s">
        <v>15</v>
      </c>
      <c r="C5" s="6" t="s">
        <v>16</v>
      </c>
      <c r="D5" s="7" t="s">
        <v>17</v>
      </c>
      <c r="E5" s="7" t="s">
        <v>18</v>
      </c>
      <c r="F5" s="6" t="s">
        <v>19</v>
      </c>
      <c r="G5" s="7" t="s">
        <v>20</v>
      </c>
      <c r="H5" s="7" t="s">
        <v>21</v>
      </c>
      <c r="I5" s="6" t="s">
        <v>22</v>
      </c>
      <c r="J5" s="8" t="n">
        <v>1</v>
      </c>
      <c r="K5" s="9"/>
      <c r="L5" s="7"/>
    </row>
    <row r="6" customFormat="false" ht="23.85" hidden="false" customHeight="false" outlineLevel="0" collapsed="false">
      <c r="A6" s="6" t="n">
        <v>2</v>
      </c>
      <c r="B6" s="6" t="s">
        <v>15</v>
      </c>
      <c r="C6" s="6" t="s">
        <v>16</v>
      </c>
      <c r="D6" s="7" t="s">
        <v>23</v>
      </c>
      <c r="E6" s="7" t="s">
        <v>18</v>
      </c>
      <c r="F6" s="6" t="s">
        <v>24</v>
      </c>
      <c r="G6" s="7" t="s">
        <v>25</v>
      </c>
      <c r="H6" s="7" t="s">
        <v>26</v>
      </c>
      <c r="I6" s="6" t="s">
        <v>22</v>
      </c>
      <c r="J6" s="8" t="n">
        <v>1</v>
      </c>
      <c r="K6" s="9"/>
      <c r="L6" s="7"/>
    </row>
    <row r="7" customFormat="false" ht="15" hidden="false" customHeight="false" outlineLevel="0" collapsed="false">
      <c r="A7" s="6" t="n">
        <v>3</v>
      </c>
      <c r="B7" s="6" t="s">
        <v>15</v>
      </c>
      <c r="C7" s="6" t="s">
        <v>16</v>
      </c>
      <c r="D7" s="7" t="s">
        <v>27</v>
      </c>
      <c r="E7" s="7" t="s">
        <v>18</v>
      </c>
      <c r="F7" s="6" t="s">
        <v>24</v>
      </c>
      <c r="G7" s="7" t="s">
        <v>25</v>
      </c>
      <c r="H7" s="7" t="s">
        <v>28</v>
      </c>
      <c r="I7" s="6" t="s">
        <v>29</v>
      </c>
      <c r="J7" s="8" t="n">
        <v>1</v>
      </c>
      <c r="K7" s="9"/>
      <c r="L7" s="7"/>
    </row>
    <row r="8" customFormat="false" ht="23.85" hidden="false" customHeight="false" outlineLevel="0" collapsed="false">
      <c r="A8" s="6" t="n">
        <v>4</v>
      </c>
      <c r="B8" s="6" t="s">
        <v>15</v>
      </c>
      <c r="C8" s="6" t="s">
        <v>16</v>
      </c>
      <c r="D8" s="7" t="s">
        <v>30</v>
      </c>
      <c r="E8" s="7" t="s">
        <v>31</v>
      </c>
      <c r="F8" s="6" t="s">
        <v>32</v>
      </c>
      <c r="G8" s="7" t="s">
        <v>33</v>
      </c>
      <c r="H8" s="7" t="s">
        <v>34</v>
      </c>
      <c r="I8" s="6" t="s">
        <v>35</v>
      </c>
      <c r="J8" s="8" t="n">
        <v>1</v>
      </c>
      <c r="K8" s="9"/>
      <c r="L8" s="7"/>
    </row>
    <row r="9" customFormat="false" ht="23.85" hidden="false" customHeight="false" outlineLevel="0" collapsed="false">
      <c r="A9" s="6" t="n">
        <v>5</v>
      </c>
      <c r="B9" s="6" t="s">
        <v>36</v>
      </c>
      <c r="C9" s="6" t="s">
        <v>16</v>
      </c>
      <c r="D9" s="7" t="s">
        <v>37</v>
      </c>
      <c r="E9" s="7" t="s">
        <v>38</v>
      </c>
      <c r="F9" s="6" t="s">
        <v>39</v>
      </c>
      <c r="G9" s="7" t="s">
        <v>40</v>
      </c>
      <c r="H9" s="7" t="s">
        <v>41</v>
      </c>
      <c r="I9" s="6" t="s">
        <v>22</v>
      </c>
      <c r="J9" s="6" t="n">
        <v>2</v>
      </c>
      <c r="K9" s="9"/>
      <c r="L9" s="7"/>
    </row>
    <row r="10" customFormat="false" ht="15" hidden="false" customHeight="false" outlineLevel="0" collapsed="false">
      <c r="A10" s="6" t="n">
        <v>6</v>
      </c>
      <c r="B10" s="6" t="s">
        <v>36</v>
      </c>
      <c r="C10" s="6" t="s">
        <v>16</v>
      </c>
      <c r="D10" s="7" t="s">
        <v>42</v>
      </c>
      <c r="E10" s="7" t="s">
        <v>43</v>
      </c>
      <c r="F10" s="6" t="s">
        <v>44</v>
      </c>
      <c r="G10" s="7" t="s">
        <v>40</v>
      </c>
      <c r="H10" s="7" t="s">
        <v>45</v>
      </c>
      <c r="I10" s="6" t="s">
        <v>22</v>
      </c>
      <c r="J10" s="6" t="n">
        <v>2</v>
      </c>
      <c r="K10" s="9"/>
      <c r="L10" s="7"/>
    </row>
    <row r="11" customFormat="false" ht="23.85" hidden="false" customHeight="false" outlineLevel="0" collapsed="false">
      <c r="A11" s="6" t="n">
        <v>7</v>
      </c>
      <c r="B11" s="6" t="s">
        <v>36</v>
      </c>
      <c r="C11" s="6" t="s">
        <v>16</v>
      </c>
      <c r="D11" s="7" t="s">
        <v>46</v>
      </c>
      <c r="E11" s="7" t="s">
        <v>47</v>
      </c>
      <c r="F11" s="6" t="s">
        <v>48</v>
      </c>
      <c r="G11" s="7" t="s">
        <v>49</v>
      </c>
      <c r="H11" s="7" t="s">
        <v>50</v>
      </c>
      <c r="I11" s="6" t="s">
        <v>51</v>
      </c>
      <c r="J11" s="8" t="n">
        <v>1</v>
      </c>
      <c r="K11" s="9"/>
      <c r="L11" s="7"/>
    </row>
    <row r="12" customFormat="false" ht="15" hidden="false" customHeight="false" outlineLevel="0" collapsed="false">
      <c r="A12" s="6" t="n">
        <v>8</v>
      </c>
      <c r="B12" s="6" t="s">
        <v>141</v>
      </c>
      <c r="C12" s="6" t="s">
        <v>16</v>
      </c>
      <c r="D12" s="7" t="s">
        <v>142</v>
      </c>
      <c r="E12" s="7" t="s">
        <v>143</v>
      </c>
      <c r="F12" s="6" t="s">
        <v>144</v>
      </c>
      <c r="G12" s="7" t="s">
        <v>145</v>
      </c>
      <c r="H12" s="7" t="s">
        <v>146</v>
      </c>
      <c r="I12" s="6" t="s">
        <v>147</v>
      </c>
      <c r="J12" s="8" t="n">
        <v>1</v>
      </c>
      <c r="K12" s="9"/>
      <c r="L12" s="7"/>
    </row>
    <row r="13" customFormat="false" ht="23.85" hidden="false" customHeight="false" outlineLevel="0" collapsed="false">
      <c r="A13" s="6" t="n">
        <v>9</v>
      </c>
      <c r="B13" s="6" t="s">
        <v>141</v>
      </c>
      <c r="C13" s="6" t="s">
        <v>16</v>
      </c>
      <c r="D13" s="7" t="s">
        <v>148</v>
      </c>
      <c r="E13" s="7" t="s">
        <v>149</v>
      </c>
      <c r="F13" s="6" t="s">
        <v>150</v>
      </c>
      <c r="G13" s="7" t="s">
        <v>151</v>
      </c>
      <c r="H13" s="7" t="s">
        <v>152</v>
      </c>
      <c r="I13" s="6" t="s">
        <v>153</v>
      </c>
      <c r="J13" s="8" t="n">
        <v>1</v>
      </c>
      <c r="K13" s="9"/>
      <c r="L13" s="7"/>
    </row>
    <row r="14" customFormat="false" ht="15" hidden="false" customHeight="false" outlineLevel="0" collapsed="false">
      <c r="A14" s="6" t="n">
        <v>10</v>
      </c>
      <c r="B14" s="6" t="s">
        <v>141</v>
      </c>
      <c r="C14" s="6" t="s">
        <v>16</v>
      </c>
      <c r="D14" s="7" t="s">
        <v>154</v>
      </c>
      <c r="E14" s="7" t="s">
        <v>155</v>
      </c>
      <c r="F14" s="6" t="s">
        <v>156</v>
      </c>
      <c r="G14" s="7" t="s">
        <v>151</v>
      </c>
      <c r="H14" s="7" t="s">
        <v>157</v>
      </c>
      <c r="I14" s="6" t="s">
        <v>56</v>
      </c>
      <c r="J14" s="6" t="n">
        <v>2</v>
      </c>
      <c r="K14" s="9"/>
      <c r="L14" s="7"/>
    </row>
    <row r="15" customFormat="false" ht="15" hidden="false" customHeight="false" outlineLevel="0" collapsed="false">
      <c r="A15" s="6" t="n">
        <v>11</v>
      </c>
      <c r="B15" s="6" t="s">
        <v>141</v>
      </c>
      <c r="C15" s="6" t="s">
        <v>16</v>
      </c>
      <c r="D15" s="7" t="s">
        <v>158</v>
      </c>
      <c r="E15" s="7" t="s">
        <v>159</v>
      </c>
      <c r="F15" s="6" t="s">
        <v>156</v>
      </c>
      <c r="G15" s="7" t="s">
        <v>151</v>
      </c>
      <c r="H15" s="7" t="s">
        <v>157</v>
      </c>
      <c r="I15" s="6" t="s">
        <v>160</v>
      </c>
      <c r="J15" s="6" t="n">
        <v>2</v>
      </c>
      <c r="K15" s="9"/>
      <c r="L15" s="7"/>
    </row>
    <row r="16" customFormat="false" ht="15" hidden="false" customHeight="false" outlineLevel="0" collapsed="false">
      <c r="A16" s="6" t="n">
        <v>12</v>
      </c>
      <c r="B16" s="6" t="s">
        <v>141</v>
      </c>
      <c r="C16" s="6" t="s">
        <v>16</v>
      </c>
      <c r="D16" s="7" t="s">
        <v>161</v>
      </c>
      <c r="E16" s="7" t="s">
        <v>162</v>
      </c>
      <c r="F16" s="6" t="s">
        <v>156</v>
      </c>
      <c r="G16" s="7" t="s">
        <v>151</v>
      </c>
      <c r="H16" s="7" t="s">
        <v>157</v>
      </c>
      <c r="I16" s="6" t="s">
        <v>51</v>
      </c>
      <c r="J16" s="6" t="n">
        <v>2</v>
      </c>
      <c r="K16" s="9"/>
      <c r="L16" s="7"/>
    </row>
    <row r="17" customFormat="false" ht="15" hidden="false" customHeight="false" outlineLevel="0" collapsed="false">
      <c r="A17" s="6" t="n">
        <v>13</v>
      </c>
      <c r="B17" s="6" t="s">
        <v>141</v>
      </c>
      <c r="C17" s="6" t="s">
        <v>16</v>
      </c>
      <c r="D17" s="7" t="s">
        <v>163</v>
      </c>
      <c r="E17" s="7" t="s">
        <v>164</v>
      </c>
      <c r="F17" s="6" t="s">
        <v>165</v>
      </c>
      <c r="G17" s="7" t="s">
        <v>145</v>
      </c>
      <c r="H17" s="7" t="s">
        <v>166</v>
      </c>
      <c r="I17" s="6" t="s">
        <v>22</v>
      </c>
      <c r="J17" s="6" t="n">
        <v>3</v>
      </c>
      <c r="K17" s="9"/>
      <c r="L17" s="7"/>
    </row>
    <row r="18" customFormat="false" ht="15" hidden="false" customHeight="false" outlineLevel="0" collapsed="false">
      <c r="A18" s="6" t="n">
        <v>14</v>
      </c>
      <c r="B18" s="6" t="s">
        <v>141</v>
      </c>
      <c r="C18" s="6" t="s">
        <v>16</v>
      </c>
      <c r="D18" s="7" t="s">
        <v>167</v>
      </c>
      <c r="E18" s="7" t="s">
        <v>168</v>
      </c>
      <c r="F18" s="6" t="s">
        <v>169</v>
      </c>
      <c r="G18" s="7" t="s">
        <v>145</v>
      </c>
      <c r="H18" s="7" t="s">
        <v>170</v>
      </c>
      <c r="I18" s="6" t="s">
        <v>171</v>
      </c>
      <c r="J18" s="6" t="n">
        <v>3</v>
      </c>
      <c r="K18" s="9"/>
      <c r="L18" s="7"/>
    </row>
    <row r="19" customFormat="false" ht="15" hidden="false" customHeight="false" outlineLevel="0" collapsed="false">
      <c r="A19" s="6" t="n">
        <v>15</v>
      </c>
      <c r="B19" s="6" t="s">
        <v>141</v>
      </c>
      <c r="C19" s="6" t="s">
        <v>16</v>
      </c>
      <c r="D19" s="7" t="s">
        <v>172</v>
      </c>
      <c r="E19" s="7" t="s">
        <v>173</v>
      </c>
      <c r="F19" s="6" t="s">
        <v>174</v>
      </c>
      <c r="G19" s="7" t="s">
        <v>145</v>
      </c>
      <c r="H19" s="7" t="s">
        <v>175</v>
      </c>
      <c r="I19" s="6" t="s">
        <v>176</v>
      </c>
      <c r="J19" s="6" t="n">
        <v>3</v>
      </c>
      <c r="K19" s="9"/>
      <c r="L19" s="7"/>
    </row>
    <row r="20" customFormat="false" ht="15" hidden="false" customHeight="false" outlineLevel="0" collapsed="false">
      <c r="A20" s="6" t="n">
        <v>16</v>
      </c>
      <c r="B20" s="6" t="s">
        <v>36</v>
      </c>
      <c r="C20" s="6" t="s">
        <v>16</v>
      </c>
      <c r="D20" s="7" t="s">
        <v>52</v>
      </c>
      <c r="E20" s="7" t="s">
        <v>53</v>
      </c>
      <c r="F20" s="6" t="s">
        <v>54</v>
      </c>
      <c r="G20" s="7" t="s">
        <v>40</v>
      </c>
      <c r="H20" s="7" t="s">
        <v>55</v>
      </c>
      <c r="I20" s="6" t="s">
        <v>56</v>
      </c>
      <c r="J20" s="8" t="n">
        <v>1</v>
      </c>
      <c r="K20" s="9"/>
      <c r="L20" s="7"/>
    </row>
    <row r="21" customFormat="false" ht="15" hidden="false" customHeight="false" outlineLevel="0" collapsed="false">
      <c r="A21" s="6" t="n">
        <v>17</v>
      </c>
      <c r="B21" s="6" t="s">
        <v>141</v>
      </c>
      <c r="C21" s="6" t="s">
        <v>16</v>
      </c>
      <c r="D21" s="7" t="s">
        <v>177</v>
      </c>
      <c r="E21" s="7" t="s">
        <v>178</v>
      </c>
      <c r="F21" s="6" t="s">
        <v>165</v>
      </c>
      <c r="G21" s="7" t="s">
        <v>145</v>
      </c>
      <c r="H21" s="7" t="s">
        <v>166</v>
      </c>
      <c r="I21" s="6" t="s">
        <v>35</v>
      </c>
      <c r="J21" s="6" t="n">
        <v>3</v>
      </c>
      <c r="K21" s="9"/>
      <c r="L21" s="7"/>
    </row>
    <row r="22" customFormat="false" ht="23.85" hidden="false" customHeight="false" outlineLevel="0" collapsed="false">
      <c r="A22" s="6" t="n">
        <v>18</v>
      </c>
      <c r="B22" s="6" t="s">
        <v>36</v>
      </c>
      <c r="C22" s="6" t="s">
        <v>16</v>
      </c>
      <c r="D22" s="7" t="s">
        <v>66</v>
      </c>
      <c r="E22" s="7" t="s">
        <v>67</v>
      </c>
      <c r="F22" s="6" t="s">
        <v>39</v>
      </c>
      <c r="G22" s="7" t="s">
        <v>40</v>
      </c>
      <c r="H22" s="7" t="s">
        <v>68</v>
      </c>
      <c r="I22" s="6" t="s">
        <v>35</v>
      </c>
      <c r="J22" s="6" t="n">
        <v>3</v>
      </c>
      <c r="K22" s="9"/>
      <c r="L22" s="7"/>
    </row>
    <row r="23" customFormat="false" ht="15" hidden="false" customHeight="false" outlineLevel="0" collapsed="false">
      <c r="A23" s="6" t="n">
        <v>19</v>
      </c>
      <c r="B23" s="6" t="s">
        <v>141</v>
      </c>
      <c r="C23" s="6" t="s">
        <v>16</v>
      </c>
      <c r="D23" s="7" t="s">
        <v>179</v>
      </c>
      <c r="E23" s="7" t="s">
        <v>180</v>
      </c>
      <c r="F23" s="6" t="s">
        <v>181</v>
      </c>
      <c r="G23" s="7" t="s">
        <v>145</v>
      </c>
      <c r="H23" s="7" t="s">
        <v>182</v>
      </c>
      <c r="I23" s="6" t="s">
        <v>56</v>
      </c>
      <c r="J23" s="6" t="n">
        <v>2</v>
      </c>
      <c r="K23" s="9"/>
      <c r="L23" s="7"/>
    </row>
    <row r="24" customFormat="false" ht="23.85" hidden="false" customHeight="false" outlineLevel="0" collapsed="false">
      <c r="A24" s="6" t="n">
        <v>20</v>
      </c>
      <c r="B24" s="6" t="s">
        <v>36</v>
      </c>
      <c r="C24" s="6" t="s">
        <v>57</v>
      </c>
      <c r="D24" s="7" t="s">
        <v>58</v>
      </c>
      <c r="E24" s="7" t="s">
        <v>59</v>
      </c>
      <c r="F24" s="6" t="s">
        <v>60</v>
      </c>
      <c r="G24" s="7" t="s">
        <v>49</v>
      </c>
      <c r="H24" s="7" t="s">
        <v>61</v>
      </c>
      <c r="I24" s="6" t="s">
        <v>56</v>
      </c>
      <c r="J24" s="8" t="n">
        <v>1</v>
      </c>
      <c r="K24" s="9"/>
      <c r="L24" s="7"/>
    </row>
    <row r="25" customFormat="false" ht="15" hidden="false" customHeight="false" outlineLevel="0" collapsed="false">
      <c r="A25" s="6" t="n">
        <v>21</v>
      </c>
      <c r="B25" s="6" t="s">
        <v>36</v>
      </c>
      <c r="C25" s="6" t="s">
        <v>57</v>
      </c>
      <c r="D25" s="7" t="s">
        <v>62</v>
      </c>
      <c r="E25" s="7" t="s">
        <v>63</v>
      </c>
      <c r="F25" s="6" t="s">
        <v>64</v>
      </c>
      <c r="G25" s="7" t="s">
        <v>40</v>
      </c>
      <c r="H25" s="7" t="s">
        <v>65</v>
      </c>
      <c r="I25" s="6" t="s">
        <v>56</v>
      </c>
      <c r="J25" s="6" t="n">
        <v>2</v>
      </c>
      <c r="K25" s="9"/>
      <c r="L25" s="7"/>
    </row>
    <row r="26" customFormat="false" ht="23.85" hidden="false" customHeight="false" outlineLevel="0" collapsed="false">
      <c r="A26" s="6" t="n">
        <v>22</v>
      </c>
      <c r="B26" s="6" t="s">
        <v>36</v>
      </c>
      <c r="C26" s="6" t="s">
        <v>69</v>
      </c>
      <c r="D26" s="7" t="s">
        <v>70</v>
      </c>
      <c r="E26" s="7" t="s">
        <v>71</v>
      </c>
      <c r="F26" s="6" t="s">
        <v>72</v>
      </c>
      <c r="G26" s="7" t="s">
        <v>49</v>
      </c>
      <c r="H26" s="7" t="s">
        <v>73</v>
      </c>
      <c r="I26" s="6" t="s">
        <v>74</v>
      </c>
      <c r="J26" s="8" t="n">
        <v>1</v>
      </c>
      <c r="K26" s="9"/>
      <c r="L26" s="7"/>
    </row>
    <row r="27" customFormat="false" ht="15" hidden="false" customHeight="false" outlineLevel="0" collapsed="false">
      <c r="A27" s="6" t="n">
        <v>23</v>
      </c>
      <c r="B27" s="6" t="s">
        <v>36</v>
      </c>
      <c r="C27" s="6" t="s">
        <v>69</v>
      </c>
      <c r="D27" s="7" t="s">
        <v>75</v>
      </c>
      <c r="E27" s="7" t="s">
        <v>76</v>
      </c>
      <c r="F27" s="6" t="s">
        <v>77</v>
      </c>
      <c r="G27" s="7" t="s">
        <v>40</v>
      </c>
      <c r="H27" s="7" t="s">
        <v>78</v>
      </c>
      <c r="I27" s="6" t="s">
        <v>79</v>
      </c>
      <c r="J27" s="6" t="n">
        <v>2</v>
      </c>
      <c r="K27" s="9"/>
      <c r="L27" s="7"/>
    </row>
    <row r="28" customFormat="false" ht="23.85" hidden="false" customHeight="false" outlineLevel="0" collapsed="false">
      <c r="A28" s="6" t="n">
        <v>24</v>
      </c>
      <c r="B28" s="6" t="s">
        <v>36</v>
      </c>
      <c r="C28" s="6" t="s">
        <v>69</v>
      </c>
      <c r="D28" s="7" t="s">
        <v>80</v>
      </c>
      <c r="E28" s="7" t="s">
        <v>81</v>
      </c>
      <c r="F28" s="6" t="s">
        <v>82</v>
      </c>
      <c r="G28" s="7" t="s">
        <v>83</v>
      </c>
      <c r="H28" s="7" t="s">
        <v>84</v>
      </c>
      <c r="I28" s="6" t="s">
        <v>85</v>
      </c>
      <c r="J28" s="6" t="n">
        <v>2</v>
      </c>
      <c r="K28" s="9"/>
      <c r="L28" s="7"/>
    </row>
    <row r="29" customFormat="false" ht="23.85" hidden="false" customHeight="false" outlineLevel="0" collapsed="false">
      <c r="A29" s="6" t="n">
        <v>25</v>
      </c>
      <c r="B29" s="6" t="s">
        <v>36</v>
      </c>
      <c r="C29" s="6" t="s">
        <v>69</v>
      </c>
      <c r="D29" s="7" t="s">
        <v>86</v>
      </c>
      <c r="E29" s="7" t="s">
        <v>87</v>
      </c>
      <c r="F29" s="6" t="s">
        <v>54</v>
      </c>
      <c r="G29" s="7" t="s">
        <v>49</v>
      </c>
      <c r="H29" s="7" t="s">
        <v>88</v>
      </c>
      <c r="I29" s="6" t="s">
        <v>51</v>
      </c>
      <c r="J29" s="8" t="n">
        <v>1</v>
      </c>
      <c r="K29" s="9"/>
      <c r="L29" s="7"/>
    </row>
    <row r="30" customFormat="false" ht="15" hidden="false" customHeight="false" outlineLevel="0" collapsed="false">
      <c r="A30" s="6" t="n">
        <v>26</v>
      </c>
      <c r="B30" s="6" t="s">
        <v>36</v>
      </c>
      <c r="C30" s="6" t="s">
        <v>69</v>
      </c>
      <c r="D30" s="7" t="s">
        <v>89</v>
      </c>
      <c r="E30" s="7" t="s">
        <v>90</v>
      </c>
      <c r="F30" s="6" t="s">
        <v>64</v>
      </c>
      <c r="G30" s="7" t="s">
        <v>40</v>
      </c>
      <c r="H30" s="7" t="s">
        <v>91</v>
      </c>
      <c r="I30" s="6" t="s">
        <v>56</v>
      </c>
      <c r="J30" s="6" t="n">
        <v>2</v>
      </c>
      <c r="K30" s="9"/>
      <c r="L30" s="7"/>
    </row>
    <row r="31" customFormat="false" ht="15" hidden="false" customHeight="false" outlineLevel="0" collapsed="false">
      <c r="A31" s="6" t="n">
        <v>27</v>
      </c>
      <c r="B31" s="6" t="s">
        <v>36</v>
      </c>
      <c r="C31" s="6" t="s">
        <v>69</v>
      </c>
      <c r="D31" s="7" t="s">
        <v>92</v>
      </c>
      <c r="E31" s="7" t="s">
        <v>93</v>
      </c>
      <c r="F31" s="6" t="s">
        <v>54</v>
      </c>
      <c r="G31" s="7" t="s">
        <v>40</v>
      </c>
      <c r="H31" s="7" t="s">
        <v>94</v>
      </c>
      <c r="I31" s="6" t="s">
        <v>51</v>
      </c>
      <c r="J31" s="6" t="n">
        <v>2</v>
      </c>
      <c r="K31" s="9"/>
      <c r="L31" s="7"/>
    </row>
    <row r="32" customFormat="false" ht="15" hidden="false" customHeight="false" outlineLevel="0" collapsed="false">
      <c r="A32" s="6" t="n">
        <v>28</v>
      </c>
      <c r="B32" s="6" t="s">
        <v>36</v>
      </c>
      <c r="C32" s="6" t="s">
        <v>69</v>
      </c>
      <c r="D32" s="7" t="s">
        <v>95</v>
      </c>
      <c r="E32" s="7" t="s">
        <v>96</v>
      </c>
      <c r="F32" s="6" t="s">
        <v>64</v>
      </c>
      <c r="G32" s="7" t="s">
        <v>40</v>
      </c>
      <c r="H32" s="7" t="s">
        <v>97</v>
      </c>
      <c r="I32" s="6" t="s">
        <v>56</v>
      </c>
      <c r="J32" s="6" t="n">
        <v>2</v>
      </c>
      <c r="K32" s="9"/>
      <c r="L32" s="7"/>
    </row>
    <row r="33" customFormat="false" ht="15" hidden="false" customHeight="false" outlineLevel="0" collapsed="false">
      <c r="A33" s="6" t="n">
        <v>29</v>
      </c>
      <c r="B33" s="6" t="s">
        <v>36</v>
      </c>
      <c r="C33" s="6" t="s">
        <v>69</v>
      </c>
      <c r="D33" s="7" t="s">
        <v>98</v>
      </c>
      <c r="E33" s="7" t="s">
        <v>99</v>
      </c>
      <c r="F33" s="6" t="s">
        <v>100</v>
      </c>
      <c r="G33" s="7" t="s">
        <v>40</v>
      </c>
      <c r="H33" s="7" t="s">
        <v>101</v>
      </c>
      <c r="I33" s="6" t="s">
        <v>79</v>
      </c>
      <c r="J33" s="6" t="n">
        <v>2</v>
      </c>
      <c r="K33" s="9"/>
      <c r="L33" s="7"/>
    </row>
    <row r="34" customFormat="false" ht="15" hidden="false" customHeight="false" outlineLevel="0" collapsed="false">
      <c r="A34" s="6" t="n">
        <v>30</v>
      </c>
      <c r="B34" s="6" t="s">
        <v>15</v>
      </c>
      <c r="C34" s="6" t="s">
        <v>69</v>
      </c>
      <c r="D34" s="7" t="s">
        <v>102</v>
      </c>
      <c r="E34" s="7" t="s">
        <v>103</v>
      </c>
      <c r="F34" s="6" t="s">
        <v>104</v>
      </c>
      <c r="G34" s="7" t="s">
        <v>25</v>
      </c>
      <c r="H34" s="7" t="s">
        <v>105</v>
      </c>
      <c r="I34" s="6" t="s">
        <v>51</v>
      </c>
      <c r="J34" s="6" t="n">
        <v>2</v>
      </c>
      <c r="K34" s="9"/>
      <c r="L34" s="7"/>
    </row>
    <row r="35" customFormat="false" ht="23.85" hidden="false" customHeight="false" outlineLevel="0" collapsed="false">
      <c r="A35" s="6" t="n">
        <v>31</v>
      </c>
      <c r="B35" s="6" t="s">
        <v>15</v>
      </c>
      <c r="C35" s="6" t="s">
        <v>69</v>
      </c>
      <c r="D35" s="7" t="s">
        <v>106</v>
      </c>
      <c r="E35" s="7" t="s">
        <v>107</v>
      </c>
      <c r="F35" s="6" t="s">
        <v>108</v>
      </c>
      <c r="G35" s="7" t="s">
        <v>109</v>
      </c>
      <c r="H35" s="7" t="s">
        <v>110</v>
      </c>
      <c r="I35" s="6" t="s">
        <v>56</v>
      </c>
      <c r="J35" s="8" t="n">
        <v>1</v>
      </c>
      <c r="K35" s="9"/>
      <c r="L35" s="7"/>
    </row>
    <row r="36" customFormat="false" ht="15" hidden="false" customHeight="false" outlineLevel="0" collapsed="false">
      <c r="A36" s="6" t="n">
        <v>32</v>
      </c>
      <c r="B36" s="6" t="s">
        <v>141</v>
      </c>
      <c r="C36" s="6" t="s">
        <v>69</v>
      </c>
      <c r="D36" s="7" t="s">
        <v>183</v>
      </c>
      <c r="E36" s="7" t="s">
        <v>184</v>
      </c>
      <c r="F36" s="6" t="s">
        <v>185</v>
      </c>
      <c r="G36" s="7" t="s">
        <v>145</v>
      </c>
      <c r="H36" s="7" t="s">
        <v>186</v>
      </c>
      <c r="I36" s="6" t="s">
        <v>187</v>
      </c>
      <c r="J36" s="8" t="n">
        <v>1</v>
      </c>
      <c r="K36" s="9"/>
      <c r="L36" s="7"/>
    </row>
    <row r="37" customFormat="false" ht="15" hidden="false" customHeight="false" outlineLevel="0" collapsed="false">
      <c r="A37" s="6" t="n">
        <v>33</v>
      </c>
      <c r="B37" s="6" t="s">
        <v>15</v>
      </c>
      <c r="C37" s="6" t="s">
        <v>69</v>
      </c>
      <c r="D37" s="7" t="s">
        <v>111</v>
      </c>
      <c r="E37" s="7" t="s">
        <v>112</v>
      </c>
      <c r="F37" s="6" t="s">
        <v>100</v>
      </c>
      <c r="G37" s="7" t="s">
        <v>25</v>
      </c>
      <c r="H37" s="7" t="s">
        <v>113</v>
      </c>
      <c r="I37" s="6" t="s">
        <v>51</v>
      </c>
      <c r="J37" s="8" t="n">
        <v>1</v>
      </c>
      <c r="K37" s="9"/>
      <c r="L37" s="7"/>
    </row>
    <row r="38" customFormat="false" ht="15" hidden="false" customHeight="false" outlineLevel="0" collapsed="false">
      <c r="A38" s="6" t="n">
        <v>34</v>
      </c>
      <c r="B38" s="6" t="s">
        <v>141</v>
      </c>
      <c r="C38" s="6" t="s">
        <v>69</v>
      </c>
      <c r="D38" s="7" t="s">
        <v>188</v>
      </c>
      <c r="E38" s="7" t="s">
        <v>189</v>
      </c>
      <c r="F38" s="6" t="s">
        <v>190</v>
      </c>
      <c r="G38" s="7" t="s">
        <v>145</v>
      </c>
      <c r="H38" s="7" t="s">
        <v>191</v>
      </c>
      <c r="I38" s="6" t="s">
        <v>187</v>
      </c>
      <c r="J38" s="6" t="n">
        <v>2</v>
      </c>
      <c r="K38" s="9"/>
      <c r="L38" s="7"/>
    </row>
    <row r="39" customFormat="false" ht="15" hidden="false" customHeight="false" outlineLevel="0" collapsed="false">
      <c r="A39" s="6" t="n">
        <v>35</v>
      </c>
      <c r="B39" s="6" t="s">
        <v>15</v>
      </c>
      <c r="C39" s="6" t="s">
        <v>69</v>
      </c>
      <c r="D39" s="7" t="s">
        <v>114</v>
      </c>
      <c r="E39" s="7" t="s">
        <v>115</v>
      </c>
      <c r="F39" s="6" t="s">
        <v>100</v>
      </c>
      <c r="G39" s="7" t="s">
        <v>25</v>
      </c>
      <c r="H39" s="7" t="s">
        <v>116</v>
      </c>
      <c r="I39" s="6" t="s">
        <v>117</v>
      </c>
      <c r="J39" s="8" t="n">
        <v>1</v>
      </c>
      <c r="K39" s="9"/>
      <c r="L39" s="7"/>
    </row>
    <row r="40" customFormat="false" ht="15" hidden="false" customHeight="false" outlineLevel="0" collapsed="false">
      <c r="A40" s="6" t="n">
        <v>36</v>
      </c>
      <c r="B40" s="6" t="s">
        <v>36</v>
      </c>
      <c r="C40" s="6" t="s">
        <v>69</v>
      </c>
      <c r="D40" s="7" t="s">
        <v>118</v>
      </c>
      <c r="E40" s="7" t="s">
        <v>119</v>
      </c>
      <c r="F40" s="6" t="s">
        <v>120</v>
      </c>
      <c r="G40" s="7" t="s">
        <v>40</v>
      </c>
      <c r="H40" s="7" t="s">
        <v>121</v>
      </c>
      <c r="I40" s="6" t="s">
        <v>122</v>
      </c>
      <c r="J40" s="6" t="n">
        <v>2</v>
      </c>
      <c r="K40" s="9"/>
      <c r="L40" s="7"/>
    </row>
    <row r="41" customFormat="false" ht="15" hidden="false" customHeight="false" outlineLevel="0" collapsed="false">
      <c r="A41" s="6" t="n">
        <v>37</v>
      </c>
      <c r="B41" s="6" t="s">
        <v>141</v>
      </c>
      <c r="C41" s="6" t="s">
        <v>69</v>
      </c>
      <c r="D41" s="7" t="s">
        <v>192</v>
      </c>
      <c r="E41" s="7" t="s">
        <v>193</v>
      </c>
      <c r="F41" s="6" t="s">
        <v>185</v>
      </c>
      <c r="G41" s="7" t="s">
        <v>145</v>
      </c>
      <c r="H41" s="7" t="s">
        <v>194</v>
      </c>
      <c r="I41" s="6" t="s">
        <v>187</v>
      </c>
      <c r="J41" s="8" t="n">
        <v>1</v>
      </c>
      <c r="K41" s="9"/>
      <c r="L41" s="7"/>
    </row>
    <row r="42" customFormat="false" ht="15" hidden="false" customHeight="false" outlineLevel="0" collapsed="false">
      <c r="A42" s="6" t="n">
        <v>38</v>
      </c>
      <c r="B42" s="6" t="s">
        <v>141</v>
      </c>
      <c r="C42" s="6" t="s">
        <v>69</v>
      </c>
      <c r="D42" s="7" t="s">
        <v>195</v>
      </c>
      <c r="E42" s="7" t="s">
        <v>193</v>
      </c>
      <c r="F42" s="6" t="s">
        <v>196</v>
      </c>
      <c r="G42" s="7" t="s">
        <v>151</v>
      </c>
      <c r="H42" s="7" t="s">
        <v>157</v>
      </c>
      <c r="I42" s="6" t="s">
        <v>51</v>
      </c>
      <c r="J42" s="6" t="n">
        <v>3</v>
      </c>
      <c r="K42" s="9"/>
      <c r="L42" s="7"/>
    </row>
    <row r="43" customFormat="false" ht="23.85" hidden="false" customHeight="false" outlineLevel="0" collapsed="false">
      <c r="A43" s="6" t="n">
        <v>39</v>
      </c>
      <c r="B43" s="6" t="s">
        <v>36</v>
      </c>
      <c r="C43" s="6" t="s">
        <v>123</v>
      </c>
      <c r="D43" s="7" t="s">
        <v>124</v>
      </c>
      <c r="E43" s="7" t="s">
        <v>125</v>
      </c>
      <c r="F43" s="6" t="s">
        <v>72</v>
      </c>
      <c r="G43" s="7" t="s">
        <v>49</v>
      </c>
      <c r="H43" s="7" t="s">
        <v>73</v>
      </c>
      <c r="I43" s="6" t="s">
        <v>74</v>
      </c>
      <c r="J43" s="8" t="n">
        <v>1</v>
      </c>
      <c r="K43" s="9"/>
      <c r="L43" s="7"/>
    </row>
    <row r="44" customFormat="false" ht="15" hidden="false" customHeight="false" outlineLevel="0" collapsed="false">
      <c r="A44" s="6" t="n">
        <v>40</v>
      </c>
      <c r="B44" s="6" t="s">
        <v>141</v>
      </c>
      <c r="C44" s="6" t="s">
        <v>123</v>
      </c>
      <c r="D44" s="7" t="s">
        <v>197</v>
      </c>
      <c r="E44" s="7" t="s">
        <v>198</v>
      </c>
      <c r="F44" s="6" t="s">
        <v>199</v>
      </c>
      <c r="G44" s="7" t="s">
        <v>145</v>
      </c>
      <c r="H44" s="7" t="s">
        <v>200</v>
      </c>
      <c r="I44" s="6" t="s">
        <v>201</v>
      </c>
      <c r="J44" s="6" t="n">
        <v>2</v>
      </c>
      <c r="K44" s="9"/>
      <c r="L44" s="7"/>
    </row>
    <row r="45" customFormat="false" ht="15" hidden="false" customHeight="false" outlineLevel="0" collapsed="false">
      <c r="A45" s="6" t="n">
        <v>41</v>
      </c>
      <c r="B45" s="6" t="s">
        <v>141</v>
      </c>
      <c r="C45" s="6" t="s">
        <v>123</v>
      </c>
      <c r="D45" s="7" t="s">
        <v>202</v>
      </c>
      <c r="E45" s="7" t="s">
        <v>203</v>
      </c>
      <c r="F45" s="6" t="s">
        <v>199</v>
      </c>
      <c r="G45" s="7" t="s">
        <v>145</v>
      </c>
      <c r="H45" s="7" t="s">
        <v>200</v>
      </c>
      <c r="I45" s="6" t="s">
        <v>201</v>
      </c>
      <c r="J45" s="6" t="n">
        <v>2</v>
      </c>
      <c r="K45" s="9"/>
      <c r="L45" s="7"/>
    </row>
    <row r="46" customFormat="false" ht="23.85" hidden="false" customHeight="false" outlineLevel="0" collapsed="false">
      <c r="A46" s="6" t="n">
        <v>42</v>
      </c>
      <c r="B46" s="6" t="s">
        <v>141</v>
      </c>
      <c r="C46" s="6" t="s">
        <v>204</v>
      </c>
      <c r="D46" s="7" t="s">
        <v>205</v>
      </c>
      <c r="E46" s="7" t="s">
        <v>206</v>
      </c>
      <c r="F46" s="6" t="s">
        <v>150</v>
      </c>
      <c r="G46" s="7" t="s">
        <v>207</v>
      </c>
      <c r="H46" s="7" t="s">
        <v>208</v>
      </c>
      <c r="I46" s="6" t="s">
        <v>209</v>
      </c>
      <c r="J46" s="8" t="n">
        <v>1</v>
      </c>
      <c r="K46" s="9"/>
      <c r="L46" s="7"/>
    </row>
    <row r="47" customFormat="false" ht="15" hidden="false" customHeight="false" outlineLevel="0" collapsed="false">
      <c r="A47" s="6" t="n">
        <v>43</v>
      </c>
      <c r="B47" s="6" t="s">
        <v>141</v>
      </c>
      <c r="C47" s="6" t="s">
        <v>204</v>
      </c>
      <c r="D47" s="7" t="s">
        <v>210</v>
      </c>
      <c r="E47" s="7" t="s">
        <v>211</v>
      </c>
      <c r="F47" s="6" t="s">
        <v>144</v>
      </c>
      <c r="G47" s="7" t="s">
        <v>145</v>
      </c>
      <c r="H47" s="7" t="s">
        <v>212</v>
      </c>
      <c r="I47" s="6" t="s">
        <v>213</v>
      </c>
      <c r="J47" s="8" t="n">
        <v>1</v>
      </c>
      <c r="K47" s="9"/>
      <c r="L47" s="7"/>
    </row>
    <row r="48" customFormat="false" ht="15" hidden="false" customHeight="false" outlineLevel="0" collapsed="false">
      <c r="A48" s="6" t="n">
        <v>44</v>
      </c>
      <c r="B48" s="6" t="s">
        <v>141</v>
      </c>
      <c r="C48" s="6" t="s">
        <v>204</v>
      </c>
      <c r="D48" s="7" t="s">
        <v>214</v>
      </c>
      <c r="E48" s="7" t="s">
        <v>215</v>
      </c>
      <c r="F48" s="6" t="s">
        <v>156</v>
      </c>
      <c r="G48" s="7" t="s">
        <v>151</v>
      </c>
      <c r="H48" s="7" t="s">
        <v>157</v>
      </c>
      <c r="I48" s="6" t="s">
        <v>51</v>
      </c>
      <c r="J48" s="6" t="n">
        <v>2</v>
      </c>
      <c r="K48" s="9"/>
      <c r="L48" s="7"/>
    </row>
    <row r="49" customFormat="false" ht="15" hidden="false" customHeight="false" outlineLevel="0" collapsed="false">
      <c r="A49" s="6" t="n">
        <v>45</v>
      </c>
      <c r="B49" s="6" t="s">
        <v>141</v>
      </c>
      <c r="C49" s="6" t="s">
        <v>204</v>
      </c>
      <c r="D49" s="7" t="s">
        <v>216</v>
      </c>
      <c r="E49" s="7" t="s">
        <v>217</v>
      </c>
      <c r="F49" s="6" t="s">
        <v>156</v>
      </c>
      <c r="G49" s="7" t="s">
        <v>151</v>
      </c>
      <c r="H49" s="7" t="s">
        <v>157</v>
      </c>
      <c r="I49" s="6" t="s">
        <v>51</v>
      </c>
      <c r="J49" s="6" t="n">
        <v>2</v>
      </c>
      <c r="K49" s="9"/>
      <c r="L49" s="7"/>
    </row>
    <row r="50" customFormat="false" ht="15" hidden="false" customHeight="false" outlineLevel="0" collapsed="false">
      <c r="A50" s="6" t="n">
        <v>46</v>
      </c>
      <c r="B50" s="6" t="s">
        <v>141</v>
      </c>
      <c r="C50" s="6" t="s">
        <v>204</v>
      </c>
      <c r="D50" s="7" t="s">
        <v>218</v>
      </c>
      <c r="E50" s="7" t="s">
        <v>219</v>
      </c>
      <c r="F50" s="6" t="s">
        <v>156</v>
      </c>
      <c r="G50" s="7" t="s">
        <v>151</v>
      </c>
      <c r="H50" s="7" t="s">
        <v>157</v>
      </c>
      <c r="I50" s="6" t="s">
        <v>51</v>
      </c>
      <c r="J50" s="6" t="n">
        <v>2</v>
      </c>
      <c r="K50" s="9"/>
      <c r="L50" s="7"/>
    </row>
    <row r="51" customFormat="false" ht="15" hidden="false" customHeight="false" outlineLevel="0" collapsed="false">
      <c r="A51" s="6" t="n">
        <v>47</v>
      </c>
      <c r="B51" s="6" t="s">
        <v>141</v>
      </c>
      <c r="C51" s="6" t="s">
        <v>204</v>
      </c>
      <c r="D51" s="7" t="s">
        <v>220</v>
      </c>
      <c r="E51" s="7" t="s">
        <v>221</v>
      </c>
      <c r="F51" s="6" t="s">
        <v>169</v>
      </c>
      <c r="G51" s="7" t="s">
        <v>145</v>
      </c>
      <c r="H51" s="7" t="s">
        <v>222</v>
      </c>
      <c r="I51" s="6" t="s">
        <v>213</v>
      </c>
      <c r="J51" s="6" t="n">
        <v>3</v>
      </c>
      <c r="K51" s="9"/>
      <c r="L51" s="7"/>
    </row>
    <row r="52" customFormat="false" ht="15" hidden="false" customHeight="false" outlineLevel="0" collapsed="false">
      <c r="A52" s="6" t="n">
        <v>48</v>
      </c>
      <c r="B52" s="6" t="s">
        <v>141</v>
      </c>
      <c r="C52" s="6" t="s">
        <v>204</v>
      </c>
      <c r="D52" s="7" t="s">
        <v>223</v>
      </c>
      <c r="E52" s="7" t="s">
        <v>224</v>
      </c>
      <c r="F52" s="6" t="s">
        <v>225</v>
      </c>
      <c r="G52" s="7" t="s">
        <v>145</v>
      </c>
      <c r="H52" s="7" t="s">
        <v>226</v>
      </c>
      <c r="I52" s="6" t="s">
        <v>51</v>
      </c>
      <c r="J52" s="6" t="n">
        <v>2</v>
      </c>
      <c r="K52" s="9"/>
      <c r="L52" s="7"/>
    </row>
    <row r="53" customFormat="false" ht="15" hidden="false" customHeight="false" outlineLevel="0" collapsed="false">
      <c r="A53" s="6" t="n">
        <v>49</v>
      </c>
      <c r="B53" s="6" t="s">
        <v>141</v>
      </c>
      <c r="C53" s="6" t="s">
        <v>126</v>
      </c>
      <c r="D53" s="7" t="s">
        <v>227</v>
      </c>
      <c r="E53" s="7" t="s">
        <v>228</v>
      </c>
      <c r="F53" s="6" t="s">
        <v>156</v>
      </c>
      <c r="G53" s="7" t="s">
        <v>151</v>
      </c>
      <c r="H53" s="7" t="s">
        <v>229</v>
      </c>
      <c r="I53" s="6" t="s">
        <v>56</v>
      </c>
      <c r="J53" s="6" t="n">
        <v>3</v>
      </c>
      <c r="K53" s="9"/>
      <c r="L53" s="7"/>
    </row>
    <row r="54" customFormat="false" ht="23.85" hidden="false" customHeight="false" outlineLevel="0" collapsed="false">
      <c r="A54" s="6" t="n">
        <v>50</v>
      </c>
      <c r="B54" s="6" t="s">
        <v>36</v>
      </c>
      <c r="C54" s="6" t="s">
        <v>126</v>
      </c>
      <c r="D54" s="7" t="s">
        <v>127</v>
      </c>
      <c r="E54" s="7" t="s">
        <v>128</v>
      </c>
      <c r="F54" s="6" t="s">
        <v>48</v>
      </c>
      <c r="G54" s="7" t="s">
        <v>49</v>
      </c>
      <c r="H54" s="7" t="s">
        <v>129</v>
      </c>
      <c r="I54" s="6" t="s">
        <v>56</v>
      </c>
      <c r="J54" s="6" t="n">
        <v>2</v>
      </c>
      <c r="K54" s="9"/>
      <c r="L54" s="7"/>
    </row>
    <row r="55" customFormat="false" ht="15" hidden="false" customHeight="false" outlineLevel="0" collapsed="false">
      <c r="A55" s="6" t="n">
        <v>51</v>
      </c>
      <c r="B55" s="6" t="s">
        <v>141</v>
      </c>
      <c r="C55" s="6" t="s">
        <v>130</v>
      </c>
      <c r="D55" s="7" t="s">
        <v>230</v>
      </c>
      <c r="E55" s="7" t="s">
        <v>231</v>
      </c>
      <c r="F55" s="6" t="s">
        <v>144</v>
      </c>
      <c r="G55" s="7" t="s">
        <v>145</v>
      </c>
      <c r="H55" s="7" t="s">
        <v>232</v>
      </c>
      <c r="I55" s="6" t="s">
        <v>213</v>
      </c>
      <c r="J55" s="6" t="n">
        <v>2</v>
      </c>
      <c r="K55" s="9"/>
      <c r="L55" s="7"/>
    </row>
    <row r="56" customFormat="false" ht="15" hidden="false" customHeight="false" outlineLevel="0" collapsed="false">
      <c r="A56" s="6" t="n">
        <v>52</v>
      </c>
      <c r="B56" s="6" t="s">
        <v>141</v>
      </c>
      <c r="C56" s="6" t="s">
        <v>130</v>
      </c>
      <c r="D56" s="7" t="s">
        <v>233</v>
      </c>
      <c r="E56" s="7" t="s">
        <v>234</v>
      </c>
      <c r="F56" s="6" t="s">
        <v>185</v>
      </c>
      <c r="G56" s="7" t="s">
        <v>145</v>
      </c>
      <c r="H56" s="7" t="s">
        <v>235</v>
      </c>
      <c r="I56" s="6" t="s">
        <v>51</v>
      </c>
      <c r="J56" s="6" t="n">
        <v>2</v>
      </c>
      <c r="K56" s="9"/>
      <c r="L56" s="7"/>
    </row>
    <row r="57" customFormat="false" ht="23.85" hidden="false" customHeight="false" outlineLevel="0" collapsed="false">
      <c r="A57" s="6" t="n">
        <v>53</v>
      </c>
      <c r="B57" s="6" t="s">
        <v>36</v>
      </c>
      <c r="C57" s="6" t="s">
        <v>130</v>
      </c>
      <c r="D57" s="7" t="s">
        <v>131</v>
      </c>
      <c r="E57" s="7" t="s">
        <v>132</v>
      </c>
      <c r="F57" s="6" t="s">
        <v>133</v>
      </c>
      <c r="G57" s="7" t="s">
        <v>49</v>
      </c>
      <c r="H57" s="7" t="s">
        <v>134</v>
      </c>
      <c r="I57" s="6" t="s">
        <v>51</v>
      </c>
      <c r="J57" s="6" t="n">
        <v>2</v>
      </c>
      <c r="K57" s="9"/>
      <c r="L57" s="7"/>
    </row>
    <row r="58" customFormat="false" ht="15" hidden="false" customHeight="false" outlineLevel="0" collapsed="false">
      <c r="A58" s="6" t="n">
        <v>54</v>
      </c>
      <c r="B58" s="6" t="s">
        <v>141</v>
      </c>
      <c r="C58" s="6" t="s">
        <v>236</v>
      </c>
      <c r="D58" s="7" t="s">
        <v>237</v>
      </c>
      <c r="E58" s="7" t="s">
        <v>238</v>
      </c>
      <c r="F58" s="6" t="s">
        <v>165</v>
      </c>
      <c r="G58" s="7" t="s">
        <v>145</v>
      </c>
      <c r="H58" s="7" t="s">
        <v>239</v>
      </c>
      <c r="I58" s="6" t="s">
        <v>240</v>
      </c>
      <c r="J58" s="6" t="n">
        <v>3</v>
      </c>
      <c r="K58" s="9"/>
      <c r="L58" s="7"/>
    </row>
    <row r="59" customFormat="false" ht="23.85" hidden="false" customHeight="false" outlineLevel="0" collapsed="false">
      <c r="A59" s="6" t="n">
        <v>55</v>
      </c>
      <c r="B59" s="6" t="s">
        <v>36</v>
      </c>
      <c r="C59" s="6" t="s">
        <v>135</v>
      </c>
      <c r="D59" s="7" t="s">
        <v>136</v>
      </c>
      <c r="E59" s="7" t="s">
        <v>137</v>
      </c>
      <c r="F59" s="6" t="s">
        <v>72</v>
      </c>
      <c r="G59" s="7" t="s">
        <v>49</v>
      </c>
      <c r="H59" s="7" t="s">
        <v>73</v>
      </c>
      <c r="I59" s="6" t="s">
        <v>138</v>
      </c>
      <c r="J59" s="6" t="n">
        <v>2</v>
      </c>
      <c r="K59" s="9"/>
      <c r="L59" s="7"/>
    </row>
    <row r="60" customFormat="false" ht="15" hidden="false" customHeight="false" outlineLevel="0" collapsed="false">
      <c r="A60" s="6" t="n">
        <v>56</v>
      </c>
      <c r="B60" s="6" t="s">
        <v>141</v>
      </c>
      <c r="C60" s="6" t="s">
        <v>135</v>
      </c>
      <c r="D60" s="7" t="s">
        <v>241</v>
      </c>
      <c r="E60" s="7" t="s">
        <v>242</v>
      </c>
      <c r="F60" s="6" t="s">
        <v>165</v>
      </c>
      <c r="G60" s="7" t="s">
        <v>145</v>
      </c>
      <c r="H60" s="7" t="s">
        <v>239</v>
      </c>
      <c r="I60" s="6" t="s">
        <v>240</v>
      </c>
      <c r="J60" s="6" t="n">
        <v>3</v>
      </c>
      <c r="K60" s="9"/>
      <c r="L60" s="7"/>
    </row>
    <row r="61" customFormat="false" ht="15" hidden="false" customHeight="false" outlineLevel="0" collapsed="false">
      <c r="A61" s="6" t="n">
        <v>57</v>
      </c>
      <c r="B61" s="6" t="s">
        <v>141</v>
      </c>
      <c r="C61" s="6" t="s">
        <v>243</v>
      </c>
      <c r="D61" s="7" t="s">
        <v>244</v>
      </c>
      <c r="E61" s="7" t="s">
        <v>245</v>
      </c>
      <c r="F61" s="6" t="s">
        <v>199</v>
      </c>
      <c r="G61" s="7" t="s">
        <v>145</v>
      </c>
      <c r="H61" s="7" t="s">
        <v>246</v>
      </c>
      <c r="I61" s="6" t="s">
        <v>56</v>
      </c>
      <c r="J61" s="6" t="n">
        <v>3</v>
      </c>
      <c r="K61" s="9"/>
      <c r="L61" s="7"/>
    </row>
    <row r="62" customFormat="false" ht="15" hidden="false" customHeight="false" outlineLevel="0" collapsed="false">
      <c r="A62" s="6" t="n">
        <v>58</v>
      </c>
      <c r="B62" s="6" t="s">
        <v>141</v>
      </c>
      <c r="C62" s="6" t="s">
        <v>247</v>
      </c>
      <c r="D62" s="7" t="s">
        <v>248</v>
      </c>
      <c r="E62" s="7" t="s">
        <v>249</v>
      </c>
      <c r="F62" s="6" t="s">
        <v>144</v>
      </c>
      <c r="G62" s="7" t="s">
        <v>145</v>
      </c>
      <c r="H62" s="7" t="s">
        <v>232</v>
      </c>
      <c r="I62" s="6" t="s">
        <v>213</v>
      </c>
      <c r="J62" s="6" t="n">
        <v>2</v>
      </c>
      <c r="K62" s="9"/>
      <c r="L62" s="7"/>
    </row>
    <row r="63" customFormat="false" ht="15" hidden="false" customHeight="false" outlineLevel="0" collapsed="false">
      <c r="A63" s="6" t="n">
        <v>59</v>
      </c>
      <c r="B63" s="6" t="s">
        <v>141</v>
      </c>
      <c r="C63" s="6" t="s">
        <v>247</v>
      </c>
      <c r="D63" s="7" t="s">
        <v>250</v>
      </c>
      <c r="E63" s="7" t="s">
        <v>251</v>
      </c>
      <c r="F63" s="6" t="s">
        <v>156</v>
      </c>
      <c r="G63" s="7" t="s">
        <v>151</v>
      </c>
      <c r="H63" s="7" t="s">
        <v>157</v>
      </c>
      <c r="I63" s="6" t="s">
        <v>51</v>
      </c>
      <c r="J63" s="6" t="n">
        <v>3</v>
      </c>
      <c r="K63" s="9"/>
      <c r="L63" s="7"/>
    </row>
    <row r="64" customFormat="false" ht="15" hidden="false" customHeight="false" outlineLevel="0" collapsed="false">
      <c r="A64" s="6" t="n">
        <v>60</v>
      </c>
      <c r="B64" s="6" t="s">
        <v>141</v>
      </c>
      <c r="C64" s="6" t="s">
        <v>252</v>
      </c>
      <c r="D64" s="7" t="s">
        <v>253</v>
      </c>
      <c r="E64" s="7" t="s">
        <v>254</v>
      </c>
      <c r="F64" s="6" t="s">
        <v>156</v>
      </c>
      <c r="G64" s="7" t="s">
        <v>151</v>
      </c>
      <c r="H64" s="7" t="s">
        <v>157</v>
      </c>
      <c r="I64" s="6" t="s">
        <v>255</v>
      </c>
      <c r="J64" s="6" t="n">
        <v>3</v>
      </c>
      <c r="K64" s="9"/>
      <c r="L64" s="7"/>
    </row>
    <row r="65" customFormat="false" ht="23.85" hidden="false" customHeight="false" outlineLevel="0" collapsed="false">
      <c r="A65" s="6" t="n">
        <v>61</v>
      </c>
      <c r="B65" s="6" t="s">
        <v>141</v>
      </c>
      <c r="C65" s="6" t="s">
        <v>256</v>
      </c>
      <c r="D65" s="7" t="s">
        <v>257</v>
      </c>
      <c r="E65" s="7" t="s">
        <v>258</v>
      </c>
      <c r="F65" s="6" t="s">
        <v>259</v>
      </c>
      <c r="G65" s="7" t="s">
        <v>151</v>
      </c>
      <c r="H65" s="7" t="s">
        <v>260</v>
      </c>
      <c r="I65" s="6" t="s">
        <v>261</v>
      </c>
      <c r="J65" s="8" t="n">
        <v>1</v>
      </c>
      <c r="K65" s="9"/>
      <c r="L65" s="7"/>
    </row>
  </sheetData>
  <autoFilter ref="A4:L65"/>
  <mergeCells count="1">
    <mergeCell ref="A2:L2"/>
  </mergeCells>
  <dataValidations count="1">
    <dataValidation allowBlank="true" errorStyle="stop" operator="between" showDropDown="false" showErrorMessage="false" showInputMessage="false" sqref="K5:K65" type="list">
      <formula1>"Y,"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28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10" t="s">
        <v>265</v>
      </c>
    </row>
    <row r="4" customFormat="false" ht="30" hidden="false" customHeight="true" outlineLevel="0" collapsed="false">
      <c r="A4" s="5" t="s">
        <v>266</v>
      </c>
      <c r="B4" s="5" t="s">
        <v>267</v>
      </c>
      <c r="C4" s="5" t="s">
        <v>268</v>
      </c>
      <c r="D4" s="5" t="s">
        <v>269</v>
      </c>
      <c r="E4" s="5" t="s">
        <v>270</v>
      </c>
      <c r="F4" s="5" t="s">
        <v>271</v>
      </c>
      <c r="G4" s="5" t="s">
        <v>272</v>
      </c>
      <c r="H4" s="5" t="s">
        <v>273</v>
      </c>
      <c r="I4" s="5" t="s">
        <v>274</v>
      </c>
      <c r="J4" s="5" t="s">
        <v>14</v>
      </c>
    </row>
    <row r="5" customFormat="false" ht="15" hidden="false" customHeight="false" outlineLevel="0" collapsed="false">
      <c r="A5" s="11" t="s">
        <v>275</v>
      </c>
      <c r="B5" s="11" t="n">
        <f aca="false">COUNTIF('All stops (route)'!G5:G65,"*Waypoint flyer*")</f>
        <v>10</v>
      </c>
      <c r="C5" s="12" t="n">
        <v>1</v>
      </c>
      <c r="D5" s="12" t="n">
        <v>2</v>
      </c>
      <c r="E5" s="11" t="n">
        <f aca="false">B5*C5+D5</f>
        <v>12</v>
      </c>
      <c r="F5" s="12" t="n">
        <v>1</v>
      </c>
      <c r="G5" s="4" t="n">
        <f aca="false">ROUNDUP(E5/F5,0)</f>
        <v>12</v>
      </c>
      <c r="H5" s="11" t="s">
        <v>273</v>
      </c>
      <c r="I5" s="11" t="s">
        <v>276</v>
      </c>
      <c r="J5" s="13" t="s">
        <v>277</v>
      </c>
    </row>
    <row r="6" customFormat="false" ht="23.85" hidden="false" customHeight="false" outlineLevel="0" collapsed="false">
      <c r="A6" s="11" t="s">
        <v>278</v>
      </c>
      <c r="B6" s="11" t="n">
        <f aca="false">COUNTIF('All stops (route)'!G5:G65,"*Waypoint counter cards*")</f>
        <v>26</v>
      </c>
      <c r="C6" s="12" t="n">
        <v>6</v>
      </c>
      <c r="D6" s="12" t="n">
        <v>0</v>
      </c>
      <c r="E6" s="11" t="n">
        <f aca="false">B6*C6+D6</f>
        <v>156</v>
      </c>
      <c r="F6" s="12" t="n">
        <v>4</v>
      </c>
      <c r="G6" s="4" t="n">
        <f aca="false">ROUNDUP(E6/F6,0)</f>
        <v>39</v>
      </c>
      <c r="H6" s="11" t="s">
        <v>279</v>
      </c>
      <c r="I6" s="11" t="s">
        <v>280</v>
      </c>
      <c r="J6" s="13" t="s">
        <v>281</v>
      </c>
    </row>
    <row r="7" customFormat="false" ht="15" hidden="false" customHeight="false" outlineLevel="0" collapsed="false">
      <c r="A7" s="11" t="s">
        <v>282</v>
      </c>
      <c r="B7" s="11" t="n">
        <f aca="false">COUNTIF('All stops (route)'!G5:G65,"*Apps poster*")</f>
        <v>21</v>
      </c>
      <c r="C7" s="12" t="n">
        <v>1</v>
      </c>
      <c r="D7" s="12" t="n">
        <v>0</v>
      </c>
      <c r="E7" s="11" t="n">
        <f aca="false">B7*C7+D7</f>
        <v>21</v>
      </c>
      <c r="F7" s="12" t="n">
        <v>1</v>
      </c>
      <c r="G7" s="4" t="n">
        <f aca="false">ROUNDUP(E7/F7,0)</f>
        <v>21</v>
      </c>
      <c r="H7" s="11" t="s">
        <v>273</v>
      </c>
      <c r="I7" s="11" t="s">
        <v>276</v>
      </c>
      <c r="J7" s="13" t="s">
        <v>283</v>
      </c>
    </row>
    <row r="8" customFormat="false" ht="15" hidden="false" customHeight="false" outlineLevel="0" collapsed="false">
      <c r="A8" s="11" t="s">
        <v>284</v>
      </c>
      <c r="B8" s="11" t="n">
        <f aca="false">COUNTIF('All stops (route)'!G5:G65,"*Apps take-one cards*")</f>
        <v>21</v>
      </c>
      <c r="C8" s="12" t="n">
        <v>8</v>
      </c>
      <c r="D8" s="12" t="n">
        <v>0</v>
      </c>
      <c r="E8" s="11" t="n">
        <f aca="false">B8*C8+D8</f>
        <v>168</v>
      </c>
      <c r="F8" s="12" t="n">
        <v>4</v>
      </c>
      <c r="G8" s="4" t="n">
        <f aca="false">ROUNDUP(E8/F8,0)</f>
        <v>42</v>
      </c>
      <c r="H8" s="11" t="s">
        <v>279</v>
      </c>
      <c r="I8" s="11" t="s">
        <v>276</v>
      </c>
      <c r="J8" s="13" t="s">
        <v>285</v>
      </c>
    </row>
    <row r="10" customFormat="false" ht="15" hidden="false" customHeight="false" outlineLevel="0" collapsed="false">
      <c r="A10" s="14" t="s">
        <v>286</v>
      </c>
      <c r="G10" s="4" t="n">
        <f aca="false">SUMIF(H5:H8,"Cardstock",G5:G8)</f>
        <v>81</v>
      </c>
    </row>
    <row r="11" customFormat="false" ht="15" hidden="false" customHeight="false" outlineLevel="0" collapsed="false">
      <c r="A11" s="14" t="s">
        <v>287</v>
      </c>
      <c r="G11" s="4" t="n">
        <f aca="false">SUMIF(H5:H8,"Paper",G5:G8)</f>
        <v>33</v>
      </c>
    </row>
    <row r="12" customFormat="false" ht="15" hidden="false" customHeight="false" outlineLevel="0" collapsed="false">
      <c r="A12" s="14" t="s">
        <v>288</v>
      </c>
      <c r="G12" s="4" t="n">
        <f aca="false">G10+G11</f>
        <v>114</v>
      </c>
    </row>
    <row r="14" customFormat="false" ht="15" hidden="false" customHeight="false" outlineLevel="0" collapsed="false">
      <c r="A14" s="14" t="s">
        <v>289</v>
      </c>
    </row>
    <row r="15" customFormat="false" ht="15" hidden="false" customHeight="false" outlineLevel="0" collapsed="false">
      <c r="A15" s="11" t="s">
        <v>290</v>
      </c>
    </row>
    <row r="16" customFormat="false" ht="15" hidden="false" customHeight="false" outlineLevel="0" collapsed="false">
      <c r="A16" s="11" t="s">
        <v>291</v>
      </c>
    </row>
    <row r="17" customFormat="false" ht="15" hidden="false" customHeight="false" outlineLevel="0" collapsed="false">
      <c r="A17" s="11" t="s">
        <v>292</v>
      </c>
    </row>
    <row r="18" customFormat="false" ht="15" hidden="false" customHeight="false" outlineLevel="0" collapsed="false">
      <c r="A18" s="11" t="s">
        <v>293</v>
      </c>
    </row>
    <row r="20" customFormat="false" ht="15" hidden="false" customHeight="false" outlineLevel="0" collapsed="false">
      <c r="A20" s="15" t="s">
        <v>294</v>
      </c>
    </row>
    <row r="21" customFormat="false" ht="15" hidden="false" customHeight="false" outlineLevel="0" collapsed="false">
      <c r="A21" s="16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2026-10-22T11:53:36Z</dcterms:created>
  <dc:creator>openpyxl</dc:creator>
  <dc:description/>
  <dc:language>en-US</dc:language>
  <cp:lastModifiedBy/>
  <dcterms:modified xsi:type="dcterms:W3CDTF">2026-10-22T11:53:37Z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