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nt list" sheetId="1" state="visible" r:id="rId3"/>
    <sheet name="Pack by route" sheetId="2" state="visible" r:id="rId4"/>
    <sheet name="Keegix pages" sheetId="3" state="visible" r:id="rId5"/>
  </sheets>
  <definedNames>
    <definedName function="false" hidden="true" localSheetId="2" name="_xlnm._FilterDatabase" vbProcedure="false">'Keegix pages'!$A$4:$H$62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<sst xmlns="http://schemas.openxmlformats.org/spreadsheetml/2006/main" count="517" uniqueCount="267">
  <si>
    <t xml:space="preserve">Poster run: master print list (all 4 brands)</t>
  </si>
  <si>
    <t xml:space="preserve">Print in colour at 100% / "Actual size". Cardstock = Pen+Gear 65 lb white. Paper = regular copy paper. Type Y in the yellow column when a line is printed. Blue numbers are sheet counts from each brand's own print list in poster-run/ (22 Oct 2026); change them to print more or fewer.</t>
  </si>
  <si>
    <t xml:space="preserve">Printed (Y)</t>
  </si>
  <si>
    <t xml:space="preserve">Brand</t>
  </si>
  <si>
    <t xml:space="preserve">Piece</t>
  </si>
  <si>
    <t xml:space="preserve">File (in poster-run/)</t>
  </si>
  <si>
    <t xml:space="preserve">Pages to print</t>
  </si>
  <si>
    <t xml:space="preserve">Sheets</t>
  </si>
  <si>
    <t xml:space="preserve">Stock</t>
  </si>
  <si>
    <t xml:space="preserve">Sides</t>
  </si>
  <si>
    <t xml:space="preserve">How to print</t>
  </si>
  <si>
    <t xml:space="preserve">Cutting</t>
  </si>
  <si>
    <t xml:space="preserve">Where it goes</t>
  </si>
  <si>
    <t xml:space="preserve">Waypoint</t>
  </si>
  <si>
    <t xml:space="preserve">Flyer B "Still doing it by hand?"</t>
  </si>
  <si>
    <t xml:space="preserve">waypoint-flyers-print.pdf</t>
  </si>
  <si>
    <t xml:space="preserve">Page 2</t>
  </si>
  <si>
    <t xml:space="preserve">Paper</t>
  </si>
  <si>
    <t xml:space="preserve">One-sided</t>
  </si>
  <si>
    <t xml:space="preserve">Dark design: expect a thin white border. 9 boards + 1 spare.</t>
  </si>
  <si>
    <t xml:space="preserve">None</t>
  </si>
  <si>
    <t xml:space="preserve">Trades counters and rental boards</t>
  </si>
  <si>
    <t xml:space="preserve">Flyer A "I make the software fit"</t>
  </si>
  <si>
    <t xml:space="preserve">Page 1</t>
  </si>
  <si>
    <t xml:space="preserve">1 board + 1 spare.</t>
  </si>
  <si>
    <t xml:space="preserve">The Space and Company (coworking)</t>
  </si>
  <si>
    <t xml:space="preserve">Counter cards C, front</t>
  </si>
  <si>
    <t xml:space="preserve">Page 3</t>
  </si>
  <si>
    <t xml:space="preserve">Cardstock</t>
  </si>
  <si>
    <t xml:space="preserve">Two-sided (1 of 2)</t>
  </si>
  <si>
    <t xml:space="preserve">Print page 3, 39 copies. Then put the stack back in the tray and run the back (next line).</t>
  </si>
  <si>
    <t xml:space="preserve">After the back: cut on the dashed lines into 4 (2 cuts per stack)</t>
  </si>
  <si>
    <t xml:space="preserve">Offices, accountants, trades counters (6 per stop)</t>
  </si>
  <si>
    <t xml:space="preserve">Counter cards C, back</t>
  </si>
  <si>
    <t xml:space="preserve">Page 4</t>
  </si>
  <si>
    <t xml:space="preserve">Two-sided (2 of 2)</t>
  </si>
  <si>
    <t xml:space="preserve">Page 4, 39 copies on the reverse of the fronts. Flip on the long edge. Test 1 sheet first.</t>
  </si>
  <si>
    <t xml:space="preserve">—</t>
  </si>
  <si>
    <t xml:space="preserve">Same sheets as above (0 extra sheets)</t>
  </si>
  <si>
    <t xml:space="preserve">Apps</t>
  </si>
  <si>
    <t xml:space="preserve">Poster A tear-off "Digitize your whole business"</t>
  </si>
  <si>
    <t xml:space="preserve">Page 5</t>
  </si>
  <si>
    <t xml:space="preserve">Paper so the tabs tear.</t>
  </si>
  <si>
    <t xml:space="preserve">Cut the tear-off tab lines</t>
  </si>
  <si>
    <t xml:space="preserve">Grocery, library and community boards</t>
  </si>
  <si>
    <t xml:space="preserve">Poster B "Selling at markets?"</t>
  </si>
  <si>
    <t xml:space="preserve">Page 6</t>
  </si>
  <si>
    <t xml:space="preserve">Dark design: thin white border.</t>
  </si>
  <si>
    <t xml:space="preserve">Farm markets and farmers' markets</t>
  </si>
  <si>
    <t xml:space="preserve">Take-one cards C</t>
  </si>
  <si>
    <t xml:space="preserve">Page 7</t>
  </si>
  <si>
    <t xml:space="preserve">Cut on the crop marks into 4</t>
  </si>
  <si>
    <t xml:space="preserve">Cafés, print shops, markets (8 per stop)</t>
  </si>
  <si>
    <t xml:space="preserve">Staffkin</t>
  </si>
  <si>
    <t xml:space="preserve">A · Counter card, front</t>
  </si>
  <si>
    <t xml:space="preserve">staffkin-flyers-print.pdf</t>
  </si>
  <si>
    <t xml:space="preserve">Page 1, 21 copies, then run the back.</t>
  </si>
  <si>
    <t xml:space="preserve">After the back: cut into 4 using the front's dashed lines</t>
  </si>
  <si>
    <t xml:space="preserve">Restaurants, cafés, bookkeepers, hiring-now shops</t>
  </si>
  <si>
    <t xml:space="preserve">A · Counter card, back</t>
  </si>
  <si>
    <t xml:space="preserve">Page 2 on the reverse, flip on the long edge.</t>
  </si>
  <si>
    <t xml:space="preserve">B · Reference postcard, front</t>
  </si>
  <si>
    <t xml:space="preserve">Page 3, 3 copies.</t>
  </si>
  <si>
    <t xml:space="preserve">Cut into 4</t>
  </si>
  <si>
    <t xml:space="preserve">Mailed to hiring businesses with no street address</t>
  </si>
  <si>
    <t xml:space="preserve">B · Reference postcard, address side</t>
  </si>
  <si>
    <t xml:space="preserve">Page 4 on the reverse, flip on the long edge.</t>
  </si>
  <si>
    <t xml:space="preserve">Same sheets as above</t>
  </si>
  <si>
    <t xml:space="preserve">D · Pocket cards</t>
  </si>
  <si>
    <t xml:space="preserve">Cut into 10 (business-card size)</t>
  </si>
  <si>
    <t xml:space="preserve">Trades counters, salons, garages, shops (3 each)</t>
  </si>
  <si>
    <t xml:space="preserve">C · Board poster</t>
  </si>
  <si>
    <t xml:space="preserve">Chamber office, libraries, print shops</t>
  </si>
  <si>
    <t xml:space="preserve">Keegix</t>
  </si>
  <si>
    <t xml:space="preserve">Key cards option A (yellow), one page per spot</t>
  </si>
  <si>
    <t xml:space="preserve">keegix/1-print-final/10-CARD-option-A-keycards-37-spots.pdf</t>
  </si>
  <si>
    <t xml:space="preserve">All 37 pages, 1 copy each</t>
  </si>
  <si>
    <t xml:space="preserve">Each page is a different spot (see Keegix pages tab). Then run the backs.</t>
  </si>
  <si>
    <t xml:space="preserve">Straight cuts around each tag, then scissors for the tag shape</t>
  </si>
  <si>
    <t xml:space="preserve">37 drop-off spots (9 cards each)</t>
  </si>
  <si>
    <t xml:space="preserve">Mail key cards M01–M30 (numbered)</t>
  </si>
  <si>
    <t xml:space="preserve">keegix/1-print-final/02-mail-keycards-30-FRONT.pdf</t>
  </si>
  <si>
    <t xml:space="preserve">All 4 pages</t>
  </si>
  <si>
    <t xml:space="preserve">Numbered to match each letter.</t>
  </si>
  <si>
    <t xml:space="preserve">Same as key cards</t>
  </si>
  <si>
    <t xml:space="preserve">Taped into the 30 mail letters</t>
  </si>
  <si>
    <t xml:space="preserve">Key card backs</t>
  </si>
  <si>
    <t xml:space="preserve">keegix/1-print-final/03-keycards-BACK.pdf</t>
  </si>
  <si>
    <t xml:space="preserve">Page 1, 41 copies</t>
  </si>
  <si>
    <t xml:space="preserve">On the reverse of the 37 + 4 key card sheets, flip on the long edge.</t>
  </si>
  <si>
    <t xml:space="preserve">Flyer option 4: Airbnb house rules, one page per spot</t>
  </si>
  <si>
    <t xml:space="preserve">keegix/1-print-final/23-FLYER-option-4-airbnb-rules-21-spots.pdf</t>
  </si>
  <si>
    <t xml:space="preserve">All 21 pages, 1 copy each</t>
  </si>
  <si>
    <t xml:space="preserve">Each page is a different spot. Use until Nov 20, then flyer option 3.</t>
  </si>
  <si>
    <t xml:space="preserve">21 spots with a board or counter</t>
  </si>
  <si>
    <t xml:space="preserve">Mail letters (window envelope)</t>
  </si>
  <si>
    <t xml:space="preserve">keegix/1-print-final/01-mail-letters-30.pdf</t>
  </si>
  <si>
    <t xml:space="preserve">All 30 pages</t>
  </si>
  <si>
    <t xml:space="preserve">Mostly text: black and white is fine. Test one in a #10 window envelope first.</t>
  </si>
  <si>
    <t xml:space="preserve">Fold in thirds</t>
  </si>
  <si>
    <t xml:space="preserve">30 inns and B&amp;Bs (Mail from home)</t>
  </si>
  <si>
    <t xml:space="preserve">Cardstock sheets</t>
  </si>
  <si>
    <t xml:space="preserve">Copy paper sheets</t>
  </si>
  <si>
    <t xml:space="preserve">Total sheets</t>
  </si>
  <si>
    <t xml:space="preserve">Lines printed</t>
  </si>
  <si>
    <t xml:space="preserve">Two-sided cards: print the front page, put the printed stack back in the tray face-down as your printer needs, then print the back page. Flip on the long edge. Always test 1 sheet first.</t>
  </si>
  <si>
    <t xml:space="preserve">The backs have no cut lines: cut using the dashed lines on the front.</t>
  </si>
  <si>
    <t xml:space="preserve">Cardstock goes through the side tray (bypass). Office printers can't print to the edge, so dark designs get a thin white border. That's normal.</t>
  </si>
  <si>
    <t xml:space="preserve">One pack of 100 cardstock sheets is not enough for all 154. Routes 1–4 need about 113. A second pack covers everything with spares.</t>
  </si>
  <si>
    <t xml:space="preserve">Sources: waypoint-flyer-run.xlsx (Print list), staffkin-flyer-stops.xlsx (Print count), keegix/1-print-final/00-READ-ME-printing.txt, all in vk1311/Social-posts, 22 Oct 2026.</t>
  </si>
  <si>
    <t xml:space="preserve">Pack by route: what goes in each bag</t>
  </si>
  <si>
    <t xml:space="preserve">Sort the printed pieces into one pile per outing. Counts come from the master route list (per stop: 6 Waypoint counter cards, 8 Apps take-one cards, Staffkin cards as listed per place, 3 pocket cards or 5 for a "small stack", 9 Keegix key cards per spot sheet).</t>
  </si>
  <si>
    <t xml:space="preserve">Outing</t>
  </si>
  <si>
    <t xml:space="preserve">Waypoint flyer B</t>
  </si>
  <si>
    <t xml:space="preserve">Waypoint flyer A</t>
  </si>
  <si>
    <t xml:space="preserve">Waypoint counter cards</t>
  </si>
  <si>
    <t xml:space="preserve">Apps poster A</t>
  </si>
  <si>
    <t xml:space="preserve">Apps poster B</t>
  </si>
  <si>
    <t xml:space="preserve">Apps take-one cards</t>
  </si>
  <si>
    <t xml:space="preserve">Staffkin counter cards (A)</t>
  </si>
  <si>
    <t xml:space="preserve">Staffkin board posters (C)</t>
  </si>
  <si>
    <t xml:space="preserve">Staffkin pocket cards (D)</t>
  </si>
  <si>
    <t xml:space="preserve">Keegix key card sheets</t>
  </si>
  <si>
    <t xml:space="preserve">Keegix key card codes</t>
  </si>
  <si>
    <t xml:space="preserve">Keegix flyers (codes)</t>
  </si>
  <si>
    <t xml:space="preserve">Packed (Y)</t>
  </si>
  <si>
    <t xml:space="preserve">Route 1 · Weekday daytime</t>
  </si>
  <si>
    <t xml:space="preserve">Route 2 · Saturday: Wolfville &amp; Grand Pré</t>
  </si>
  <si>
    <t xml:space="preserve">C27, C28, C29, C30, C31, C32, C33, C35, C36, C37, C38, C39</t>
  </si>
  <si>
    <t xml:space="preserve">L28, L29, L30, L31, L34, L39</t>
  </si>
  <si>
    <t xml:space="preserve">Route 3 · Kentville &amp; Coldbrook</t>
  </si>
  <si>
    <t xml:space="preserve">C13, C14, C15, C18, C20</t>
  </si>
  <si>
    <t xml:space="preserve">L13, L14, L16, L19</t>
  </si>
  <si>
    <t xml:space="preserve">Route 4 · New Minas</t>
  </si>
  <si>
    <t xml:space="preserve">C21, C22, C23</t>
  </si>
  <si>
    <t xml:space="preserve">West Saturday (Annapolis Royal → Canning)</t>
  </si>
  <si>
    <t xml:space="preserve">C01, C02, C03, C04, C05, C07, C08, C09, C10, C12, C24, C25, C26</t>
  </si>
  <si>
    <t xml:space="preserve">L01, L02, L04, L07, L08, L11, L24, L25</t>
  </si>
  <si>
    <t xml:space="preserve">Hantsport &amp; Windsor (add-on)</t>
  </si>
  <si>
    <t xml:space="preserve">C40, C41</t>
  </si>
  <si>
    <t xml:space="preserve">L40, L41</t>
  </si>
  <si>
    <t xml:space="preserve">Seasonal / special days</t>
  </si>
  <si>
    <t xml:space="preserve">C06, C17</t>
  </si>
  <si>
    <t xml:space="preserve">L06</t>
  </si>
  <si>
    <t xml:space="preserve">Total (pieces)</t>
  </si>
  <si>
    <t xml:space="preserve">Mail from home: 30 Keegix letters with key cards M01–M30, plus 4 Staffkin postcards (B). See the master route workbook, tab "Mail from home".</t>
  </si>
  <si>
    <t xml:space="preserve">Keegix: which page is which spot</t>
  </si>
  <si>
    <t xml:space="preserve">Each Keegix page carries one spot's own QR code. Match the page to the spot so scans can be traced. The page number also prints small at the bottom of each page.</t>
  </si>
  <si>
    <t xml:space="preserve">File</t>
  </si>
  <si>
    <t xml:space="preserve">Page</t>
  </si>
  <si>
    <t xml:space="preserve">Spot #</t>
  </si>
  <si>
    <t xml:space="preserve">Code</t>
  </si>
  <si>
    <t xml:space="preserve">Place</t>
  </si>
  <si>
    <t xml:space="preserve">Town</t>
  </si>
  <si>
    <t xml:space="preserve">Key cards</t>
  </si>
  <si>
    <t xml:space="preserve">C01</t>
  </si>
  <si>
    <t xml:space="preserve">Annapolis Royal Visitor Information Centre</t>
  </si>
  <si>
    <t xml:space="preserve">Annapolis Royal</t>
  </si>
  <si>
    <t xml:space="preserve">C02</t>
  </si>
  <si>
    <t xml:space="preserve">Lazy Daisy Café</t>
  </si>
  <si>
    <t xml:space="preserve">C03</t>
  </si>
  <si>
    <t xml:space="preserve">ARCH &amp; PO</t>
  </si>
  <si>
    <t xml:space="preserve">C04</t>
  </si>
  <si>
    <t xml:space="preserve">Fort Anne Cafe</t>
  </si>
  <si>
    <t xml:space="preserve">C05</t>
  </si>
  <si>
    <t xml:space="preserve">Annapolis Home Hardware Building Centre</t>
  </si>
  <si>
    <t xml:space="preserve">C06</t>
  </si>
  <si>
    <t xml:space="preserve">Rockin' Rogi Diner</t>
  </si>
  <si>
    <t xml:space="preserve">Middleton</t>
  </si>
  <si>
    <t xml:space="preserve">C07</t>
  </si>
  <si>
    <t xml:space="preserve">Green Elephant Café</t>
  </si>
  <si>
    <t xml:space="preserve">Kingston</t>
  </si>
  <si>
    <t xml:space="preserve">C08</t>
  </si>
  <si>
    <t xml:space="preserve">North Mountain Fine Coffees</t>
  </si>
  <si>
    <t xml:space="preserve">Berwick</t>
  </si>
  <si>
    <t xml:space="preserve">C09</t>
  </si>
  <si>
    <t xml:space="preserve">Wheaton's Cider Press Cafe</t>
  </si>
  <si>
    <t xml:space="preserve">C10</t>
  </si>
  <si>
    <t xml:space="preserve">Berwick Home Hardware Building Centre</t>
  </si>
  <si>
    <t xml:space="preserve">C12</t>
  </si>
  <si>
    <t xml:space="preserve">Sourdough Country Bakery and Windmill Cafe</t>
  </si>
  <si>
    <t xml:space="preserve">Cambridge</t>
  </si>
  <si>
    <t xml:space="preserve">C13</t>
  </si>
  <si>
    <t xml:space="preserve">Wheelhouse Coffee Co.</t>
  </si>
  <si>
    <t xml:space="preserve">Kentville</t>
  </si>
  <si>
    <t xml:space="preserve">C14</t>
  </si>
  <si>
    <t xml:space="preserve">T.A.N. Coffee - Kentville</t>
  </si>
  <si>
    <t xml:space="preserve">C15</t>
  </si>
  <si>
    <t xml:space="preserve">Half Acre Cafe</t>
  </si>
  <si>
    <t xml:space="preserve">C17</t>
  </si>
  <si>
    <t xml:space="preserve">Kentville Farmers Market</t>
  </si>
  <si>
    <t xml:space="preserve">C18</t>
  </si>
  <si>
    <t xml:space="preserve">Rockwell Home Hardware</t>
  </si>
  <si>
    <t xml:space="preserve">C20</t>
  </si>
  <si>
    <t xml:space="preserve">Fraser’s Pro Home Centre</t>
  </si>
  <si>
    <t xml:space="preserve">C21</t>
  </si>
  <si>
    <t xml:space="preserve">Kent Building Supplies</t>
  </si>
  <si>
    <t xml:space="preserve">New Minas</t>
  </si>
  <si>
    <t xml:space="preserve">C22</t>
  </si>
  <si>
    <t xml:space="preserve">Nothin' Fancy Furniture Warehouse</t>
  </si>
  <si>
    <t xml:space="preserve">C23</t>
  </si>
  <si>
    <t xml:space="preserve">Hampton House Furniture</t>
  </si>
  <si>
    <t xml:space="preserve">C24</t>
  </si>
  <si>
    <t xml:space="preserve">The Village Coffeehouse</t>
  </si>
  <si>
    <t xml:space="preserve">Canning</t>
  </si>
  <si>
    <t xml:space="preserve">C25</t>
  </si>
  <si>
    <t xml:space="preserve">Art Can Kitchen and Studios</t>
  </si>
  <si>
    <t xml:space="preserve">C26</t>
  </si>
  <si>
    <t xml:space="preserve">Baked Inn Homemade</t>
  </si>
  <si>
    <t xml:space="preserve">Centreville</t>
  </si>
  <si>
    <t xml:space="preserve">C27</t>
  </si>
  <si>
    <t xml:space="preserve">Elderkin's Farm Market, Bakery, &amp; U-Pick</t>
  </si>
  <si>
    <t xml:space="preserve">Wolfville</t>
  </si>
  <si>
    <t xml:space="preserve">C28</t>
  </si>
  <si>
    <t xml:space="preserve">Hennigar's Farm Market</t>
  </si>
  <si>
    <t xml:space="preserve">C29</t>
  </si>
  <si>
    <t xml:space="preserve">Charts Café</t>
  </si>
  <si>
    <t xml:space="preserve">C30</t>
  </si>
  <si>
    <t xml:space="preserve">Just Us! Wolfville Café</t>
  </si>
  <si>
    <t xml:space="preserve">C31</t>
  </si>
  <si>
    <t xml:space="preserve">T.A.N. Coffee - Wolfville</t>
  </si>
  <si>
    <t xml:space="preserve">C32</t>
  </si>
  <si>
    <t xml:space="preserve">Juniper Luncheonette</t>
  </si>
  <si>
    <t xml:space="preserve">C33</t>
  </si>
  <si>
    <t xml:space="preserve">Wolfville Farmers' Market</t>
  </si>
  <si>
    <t xml:space="preserve">C35</t>
  </si>
  <si>
    <t xml:space="preserve">Rafuse Home Hardware Building Centre</t>
  </si>
  <si>
    <t xml:space="preserve">C36</t>
  </si>
  <si>
    <t xml:space="preserve">MacKay Real Estate</t>
  </si>
  <si>
    <t xml:space="preserve">C37</t>
  </si>
  <si>
    <t xml:space="preserve">Sherri &amp; Carrie - Annapolis Valley Real Estate Team</t>
  </si>
  <si>
    <t xml:space="preserve">C38</t>
  </si>
  <si>
    <t xml:space="preserve">Studio 14 Gifts &amp; Gallery</t>
  </si>
  <si>
    <t xml:space="preserve">C39</t>
  </si>
  <si>
    <t xml:space="preserve">Just Us! Grand Pré Café &amp; Roastery</t>
  </si>
  <si>
    <t xml:space="preserve">Hortonville</t>
  </si>
  <si>
    <t xml:space="preserve">C40</t>
  </si>
  <si>
    <t xml:space="preserve">The Border Diner &amp; Grill</t>
  </si>
  <si>
    <t xml:space="preserve">Hantsport</t>
  </si>
  <si>
    <t xml:space="preserve">C41</t>
  </si>
  <si>
    <t xml:space="preserve">GERRISH &amp; GRAY CAFE</t>
  </si>
  <si>
    <t xml:space="preserve">Windsor</t>
  </si>
  <si>
    <t xml:space="preserve">Flyer 4</t>
  </si>
  <si>
    <t xml:space="preserve">L01</t>
  </si>
  <si>
    <t xml:space="preserve">L02</t>
  </si>
  <si>
    <t xml:space="preserve">L04</t>
  </si>
  <si>
    <t xml:space="preserve">L07</t>
  </si>
  <si>
    <t xml:space="preserve">L08</t>
  </si>
  <si>
    <t xml:space="preserve">L11</t>
  </si>
  <si>
    <t xml:space="preserve">Berwick and District Library</t>
  </si>
  <si>
    <t xml:space="preserve">L13</t>
  </si>
  <si>
    <t xml:space="preserve">L14</t>
  </si>
  <si>
    <t xml:space="preserve">L16</t>
  </si>
  <si>
    <t xml:space="preserve">Kentville Library</t>
  </si>
  <si>
    <t xml:space="preserve">L19</t>
  </si>
  <si>
    <t xml:space="preserve">Maytag Coin Laundry</t>
  </si>
  <si>
    <t xml:space="preserve">L24</t>
  </si>
  <si>
    <t xml:space="preserve">L25</t>
  </si>
  <si>
    <t xml:space="preserve">L28</t>
  </si>
  <si>
    <t xml:space="preserve">L29</t>
  </si>
  <si>
    <t xml:space="preserve">L30</t>
  </si>
  <si>
    <t xml:space="preserve">L31</t>
  </si>
  <si>
    <t xml:space="preserve">L34</t>
  </si>
  <si>
    <t xml:space="preserve">Wolfville Memorial Library</t>
  </si>
  <si>
    <t xml:space="preserve">L39</t>
  </si>
  <si>
    <t xml:space="preserve">L40</t>
  </si>
  <si>
    <t xml:space="preserve">L41</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</si>
</sst>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7293A"/>
        <bgColor rgb="FF003366"/>
      </patternFill>
    </fill>
    <fill>
      <patternFill patternType="solid">
        <fgColor rgb="FFFFF2A8"/>
        <bgColor rgb="FFFFFFCC"/>
      </patternFill>
    </fill>
  </fills>
  <borders count="2">
    <border diagonalUp="false" diagonalDown="false">
      <left/>
      <right/>
      <top/>
      <bottom/>
      <diagonal/>
    </border>
    <border diagonalUp="false" diagonalDown="false">
      <left/>
      <right/>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7293A"/>
          <bgColor rgb="FF000000"/>
        </patternFill>
      </fill>
    </dxf>
    <dxf>
      <fill>
        <patternFill patternType="solid">
          <bgColor rgb="FF000000"/>
        </patternFill>
      </fill>
    </dxf>
    <dxf>
      <fill>
        <patternFill patternType="solid">
          <fgColor rgb="FFFFFFFF"/>
          <bgColor rgb="FF000000"/>
        </patternFill>
      </fill>
    </dxf>
    <dxf>
      <fill>
        <patternFill patternType="solid">
          <fgColor rgb="FFFFF2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729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44"/>
    <col collapsed="false" customWidth="true" hidden="false" outlineLevel="0" max="5" min="5" style="0" width="16"/>
    <col collapsed="false" customWidth="true" hidden="false" outlineLevel="0" max="6" min="6" style="0" width="8"/>
    <col collapsed="false" customWidth="true" hidden="false" outlineLevel="0" max="7" min="7" style="0" width="11"/>
    <col collapsed="false" customWidth="true" hidden="false" outlineLevel="0" max="8" min="8" style="0" width="16"/>
    <col collapsed="false" customWidth="true" hidden="false" outlineLevel="0" max="9" min="9" style="0" width="46"/>
    <col collapsed="false" customWidth="true" hidden="false" outlineLevel="0" max="10" min="10" style="0" width="30"/>
    <col collapsed="false" customWidth="true" hidden="false" outlineLevel="0" max="11" min="11" style="0" width="34"/>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23.85" hidden="false" customHeight="false" outlineLevel="0" collapsed="false">
      <c r="A5" s="4"/>
      <c r="B5" s="5" t="s">
        <v>13</v>
      </c>
      <c r="C5" s="5" t="s">
        <v>14</v>
      </c>
      <c r="D5" s="5" t="s">
        <v>15</v>
      </c>
      <c r="E5" s="5" t="s">
        <v>16</v>
      </c>
      <c r="F5" s="6" t="n">
        <v>10</v>
      </c>
      <c r="G5" s="5" t="s">
        <v>17</v>
      </c>
      <c r="H5" s="5" t="s">
        <v>18</v>
      </c>
      <c r="I5" s="5" t="s">
        <v>19</v>
      </c>
      <c r="J5" s="5" t="s">
        <v>20</v>
      </c>
      <c r="K5" s="5" t="s">
        <v>21</v>
      </c>
    </row>
    <row r="6" customFormat="false" ht="15" hidden="false" customHeight="false" outlineLevel="0" collapsed="false">
      <c r="A6" s="4"/>
      <c r="B6" s="5" t="s">
        <v>13</v>
      </c>
      <c r="C6" s="5" t="s">
        <v>22</v>
      </c>
      <c r="D6" s="5" t="s">
        <v>15</v>
      </c>
      <c r="E6" s="5" t="s">
        <v>23</v>
      </c>
      <c r="F6" s="6" t="n">
        <v>2</v>
      </c>
      <c r="G6" s="5" t="s">
        <v>17</v>
      </c>
      <c r="H6" s="5" t="s">
        <v>18</v>
      </c>
      <c r="I6" s="5" t="s">
        <v>24</v>
      </c>
      <c r="J6" s="5" t="s">
        <v>20</v>
      </c>
      <c r="K6" s="5" t="s">
        <v>25</v>
      </c>
    </row>
    <row r="7" customFormat="false" ht="23.85" hidden="false" customHeight="false" outlineLevel="0" collapsed="false">
      <c r="A7" s="4"/>
      <c r="B7" s="5" t="s">
        <v>13</v>
      </c>
      <c r="C7" s="5" t="s">
        <v>26</v>
      </c>
      <c r="D7" s="5" t="s">
        <v>15</v>
      </c>
      <c r="E7" s="5" t="s">
        <v>27</v>
      </c>
      <c r="F7" s="6" t="n">
        <v>39</v>
      </c>
      <c r="G7" s="5" t="s">
        <v>28</v>
      </c>
      <c r="H7" s="5" t="s">
        <v>29</v>
      </c>
      <c r="I7" s="5" t="s">
        <v>30</v>
      </c>
      <c r="J7" s="5" t="s">
        <v>31</v>
      </c>
      <c r="K7" s="5" t="s">
        <v>32</v>
      </c>
    </row>
    <row r="8" customFormat="false" ht="23.85" hidden="false" customHeight="false" outlineLevel="0" collapsed="false">
      <c r="A8" s="4"/>
      <c r="B8" s="5" t="s">
        <v>13</v>
      </c>
      <c r="C8" s="5" t="s">
        <v>33</v>
      </c>
      <c r="D8" s="5" t="s">
        <v>15</v>
      </c>
      <c r="E8" s="5" t="s">
        <v>34</v>
      </c>
      <c r="F8" s="6" t="n">
        <v>0</v>
      </c>
      <c r="G8" s="5" t="s">
        <v>28</v>
      </c>
      <c r="H8" s="5" t="s">
        <v>35</v>
      </c>
      <c r="I8" s="5" t="s">
        <v>36</v>
      </c>
      <c r="J8" s="5" t="s">
        <v>37</v>
      </c>
      <c r="K8" s="5" t="s">
        <v>38</v>
      </c>
    </row>
    <row r="9" customFormat="false" ht="23.85" hidden="false" customHeight="false" outlineLevel="0" collapsed="false">
      <c r="A9" s="4"/>
      <c r="B9" s="5" t="s">
        <v>39</v>
      </c>
      <c r="C9" s="5" t="s">
        <v>40</v>
      </c>
      <c r="D9" s="5" t="s">
        <v>15</v>
      </c>
      <c r="E9" s="5" t="s">
        <v>41</v>
      </c>
      <c r="F9" s="6" t="n">
        <v>17</v>
      </c>
      <c r="G9" s="5" t="s">
        <v>17</v>
      </c>
      <c r="H9" s="5" t="s">
        <v>18</v>
      </c>
      <c r="I9" s="5" t="s">
        <v>42</v>
      </c>
      <c r="J9" s="5" t="s">
        <v>43</v>
      </c>
      <c r="K9" s="5" t="s">
        <v>44</v>
      </c>
    </row>
    <row r="10" customFormat="false" ht="15" hidden="false" customHeight="false" outlineLevel="0" collapsed="false">
      <c r="A10" s="4"/>
      <c r="B10" s="5" t="s">
        <v>39</v>
      </c>
      <c r="C10" s="5" t="s">
        <v>45</v>
      </c>
      <c r="D10" s="5" t="s">
        <v>15</v>
      </c>
      <c r="E10" s="5" t="s">
        <v>46</v>
      </c>
      <c r="F10" s="6" t="n">
        <v>4</v>
      </c>
      <c r="G10" s="5" t="s">
        <v>17</v>
      </c>
      <c r="H10" s="5" t="s">
        <v>18</v>
      </c>
      <c r="I10" s="5" t="s">
        <v>47</v>
      </c>
      <c r="J10" s="5" t="s">
        <v>20</v>
      </c>
      <c r="K10" s="5" t="s">
        <v>48</v>
      </c>
    </row>
    <row r="11" customFormat="false" ht="15" hidden="false" customHeight="false" outlineLevel="0" collapsed="false">
      <c r="A11" s="4"/>
      <c r="B11" s="5" t="s">
        <v>39</v>
      </c>
      <c r="C11" s="5" t="s">
        <v>49</v>
      </c>
      <c r="D11" s="5" t="s">
        <v>15</v>
      </c>
      <c r="E11" s="5" t="s">
        <v>50</v>
      </c>
      <c r="F11" s="6" t="n">
        <v>42</v>
      </c>
      <c r="G11" s="5" t="s">
        <v>28</v>
      </c>
      <c r="H11" s="5" t="s">
        <v>18</v>
      </c>
      <c r="I11" s="5"/>
      <c r="J11" s="5" t="s">
        <v>51</v>
      </c>
      <c r="K11" s="5" t="s">
        <v>52</v>
      </c>
    </row>
    <row r="12" customFormat="false" ht="23.85" hidden="false" customHeight="false" outlineLevel="0" collapsed="false">
      <c r="A12" s="4"/>
      <c r="B12" s="5" t="s">
        <v>53</v>
      </c>
      <c r="C12" s="5" t="s">
        <v>54</v>
      </c>
      <c r="D12" s="5" t="s">
        <v>55</v>
      </c>
      <c r="E12" s="5" t="s">
        <v>23</v>
      </c>
      <c r="F12" s="6" t="n">
        <v>21</v>
      </c>
      <c r="G12" s="5" t="s">
        <v>28</v>
      </c>
      <c r="H12" s="5" t="s">
        <v>29</v>
      </c>
      <c r="I12" s="5" t="s">
        <v>56</v>
      </c>
      <c r="J12" s="5" t="s">
        <v>57</v>
      </c>
      <c r="K12" s="5" t="s">
        <v>58</v>
      </c>
    </row>
    <row r="13" customFormat="false" ht="15" hidden="false" customHeight="false" outlineLevel="0" collapsed="false">
      <c r="A13" s="4"/>
      <c r="B13" s="5" t="s">
        <v>53</v>
      </c>
      <c r="C13" s="5" t="s">
        <v>59</v>
      </c>
      <c r="D13" s="5" t="s">
        <v>55</v>
      </c>
      <c r="E13" s="5" t="s">
        <v>16</v>
      </c>
      <c r="F13" s="6" t="n">
        <v>0</v>
      </c>
      <c r="G13" s="5" t="s">
        <v>28</v>
      </c>
      <c r="H13" s="5" t="s">
        <v>35</v>
      </c>
      <c r="I13" s="5" t="s">
        <v>60</v>
      </c>
      <c r="J13" s="5" t="s">
        <v>37</v>
      </c>
      <c r="K13" s="5" t="s">
        <v>38</v>
      </c>
    </row>
    <row r="14" customFormat="false" ht="23.85" hidden="false" customHeight="false" outlineLevel="0" collapsed="false">
      <c r="A14" s="4"/>
      <c r="B14" s="5" t="s">
        <v>53</v>
      </c>
      <c r="C14" s="5" t="s">
        <v>61</v>
      </c>
      <c r="D14" s="5" t="s">
        <v>55</v>
      </c>
      <c r="E14" s="5" t="s">
        <v>27</v>
      </c>
      <c r="F14" s="6" t="n">
        <v>3</v>
      </c>
      <c r="G14" s="5" t="s">
        <v>28</v>
      </c>
      <c r="H14" s="5" t="s">
        <v>29</v>
      </c>
      <c r="I14" s="5" t="s">
        <v>62</v>
      </c>
      <c r="J14" s="5" t="s">
        <v>63</v>
      </c>
      <c r="K14" s="5" t="s">
        <v>64</v>
      </c>
    </row>
    <row r="15" customFormat="false" ht="23.85" hidden="false" customHeight="false" outlineLevel="0" collapsed="false">
      <c r="A15" s="4"/>
      <c r="B15" s="5" t="s">
        <v>53</v>
      </c>
      <c r="C15" s="5" t="s">
        <v>65</v>
      </c>
      <c r="D15" s="5" t="s">
        <v>55</v>
      </c>
      <c r="E15" s="5" t="s">
        <v>34</v>
      </c>
      <c r="F15" s="6" t="n">
        <v>0</v>
      </c>
      <c r="G15" s="5" t="s">
        <v>28</v>
      </c>
      <c r="H15" s="5" t="s">
        <v>35</v>
      </c>
      <c r="I15" s="5" t="s">
        <v>66</v>
      </c>
      <c r="J15" s="5" t="s">
        <v>37</v>
      </c>
      <c r="K15" s="5" t="s">
        <v>67</v>
      </c>
    </row>
    <row r="16" customFormat="false" ht="23.85" hidden="false" customHeight="false" outlineLevel="0" collapsed="false">
      <c r="A16" s="4"/>
      <c r="B16" s="5" t="s">
        <v>53</v>
      </c>
      <c r="C16" s="5" t="s">
        <v>68</v>
      </c>
      <c r="D16" s="5" t="s">
        <v>55</v>
      </c>
      <c r="E16" s="5" t="s">
        <v>41</v>
      </c>
      <c r="F16" s="6" t="n">
        <v>8</v>
      </c>
      <c r="G16" s="5" t="s">
        <v>28</v>
      </c>
      <c r="H16" s="5" t="s">
        <v>18</v>
      </c>
      <c r="I16" s="5"/>
      <c r="J16" s="5" t="s">
        <v>69</v>
      </c>
      <c r="K16" s="5" t="s">
        <v>70</v>
      </c>
    </row>
    <row r="17" customFormat="false" ht="15" hidden="false" customHeight="false" outlineLevel="0" collapsed="false">
      <c r="A17" s="4"/>
      <c r="B17" s="5" t="s">
        <v>53</v>
      </c>
      <c r="C17" s="5" t="s">
        <v>71</v>
      </c>
      <c r="D17" s="5" t="s">
        <v>55</v>
      </c>
      <c r="E17" s="5" t="s">
        <v>46</v>
      </c>
      <c r="F17" s="6" t="n">
        <v>9</v>
      </c>
      <c r="G17" s="5" t="s">
        <v>17</v>
      </c>
      <c r="H17" s="5" t="s">
        <v>18</v>
      </c>
      <c r="I17" s="5"/>
      <c r="J17" s="5" t="s">
        <v>20</v>
      </c>
      <c r="K17" s="5" t="s">
        <v>72</v>
      </c>
    </row>
    <row r="18" customFormat="false" ht="23.85" hidden="false" customHeight="false" outlineLevel="0" collapsed="false">
      <c r="A18" s="4"/>
      <c r="B18" s="5" t="s">
        <v>73</v>
      </c>
      <c r="C18" s="5" t="s">
        <v>74</v>
      </c>
      <c r="D18" s="5" t="s">
        <v>75</v>
      </c>
      <c r="E18" s="5" t="s">
        <v>76</v>
      </c>
      <c r="F18" s="6" t="n">
        <v>37</v>
      </c>
      <c r="G18" s="5" t="s">
        <v>28</v>
      </c>
      <c r="H18" s="5" t="s">
        <v>29</v>
      </c>
      <c r="I18" s="5" t="s">
        <v>77</v>
      </c>
      <c r="J18" s="5" t="s">
        <v>78</v>
      </c>
      <c r="K18" s="5" t="s">
        <v>79</v>
      </c>
    </row>
    <row r="19" customFormat="false" ht="23.85" hidden="false" customHeight="false" outlineLevel="0" collapsed="false">
      <c r="A19" s="4"/>
      <c r="B19" s="5" t="s">
        <v>73</v>
      </c>
      <c r="C19" s="5" t="s">
        <v>80</v>
      </c>
      <c r="D19" s="5" t="s">
        <v>81</v>
      </c>
      <c r="E19" s="5" t="s">
        <v>82</v>
      </c>
      <c r="F19" s="6" t="n">
        <v>4</v>
      </c>
      <c r="G19" s="5" t="s">
        <v>28</v>
      </c>
      <c r="H19" s="5" t="s">
        <v>29</v>
      </c>
      <c r="I19" s="5" t="s">
        <v>83</v>
      </c>
      <c r="J19" s="5" t="s">
        <v>84</v>
      </c>
      <c r="K19" s="5" t="s">
        <v>85</v>
      </c>
    </row>
    <row r="20" customFormat="false" ht="23.85" hidden="false" customHeight="false" outlineLevel="0" collapsed="false">
      <c r="A20" s="4"/>
      <c r="B20" s="5" t="s">
        <v>73</v>
      </c>
      <c r="C20" s="5" t="s">
        <v>86</v>
      </c>
      <c r="D20" s="5" t="s">
        <v>87</v>
      </c>
      <c r="E20" s="5" t="s">
        <v>88</v>
      </c>
      <c r="F20" s="6" t="n">
        <v>0</v>
      </c>
      <c r="G20" s="5" t="s">
        <v>28</v>
      </c>
      <c r="H20" s="5" t="s">
        <v>35</v>
      </c>
      <c r="I20" s="5" t="s">
        <v>89</v>
      </c>
      <c r="J20" s="5" t="s">
        <v>37</v>
      </c>
      <c r="K20" s="5" t="s">
        <v>38</v>
      </c>
    </row>
    <row r="21" customFormat="false" ht="23.85" hidden="false" customHeight="false" outlineLevel="0" collapsed="false">
      <c r="A21" s="4"/>
      <c r="B21" s="5" t="s">
        <v>73</v>
      </c>
      <c r="C21" s="5" t="s">
        <v>90</v>
      </c>
      <c r="D21" s="5" t="s">
        <v>91</v>
      </c>
      <c r="E21" s="5" t="s">
        <v>92</v>
      </c>
      <c r="F21" s="6" t="n">
        <v>21</v>
      </c>
      <c r="G21" s="5" t="s">
        <v>17</v>
      </c>
      <c r="H21" s="5" t="s">
        <v>18</v>
      </c>
      <c r="I21" s="5" t="s">
        <v>93</v>
      </c>
      <c r="J21" s="5" t="s">
        <v>20</v>
      </c>
      <c r="K21" s="5" t="s">
        <v>94</v>
      </c>
    </row>
    <row r="22" customFormat="false" ht="23.85" hidden="false" customHeight="false" outlineLevel="0" collapsed="false">
      <c r="A22" s="4"/>
      <c r="B22" s="5" t="s">
        <v>73</v>
      </c>
      <c r="C22" s="5" t="s">
        <v>95</v>
      </c>
      <c r="D22" s="5" t="s">
        <v>96</v>
      </c>
      <c r="E22" s="5" t="s">
        <v>97</v>
      </c>
      <c r="F22" s="6" t="n">
        <v>30</v>
      </c>
      <c r="G22" s="5" t="s">
        <v>17</v>
      </c>
      <c r="H22" s="5" t="s">
        <v>18</v>
      </c>
      <c r="I22" s="5" t="s">
        <v>98</v>
      </c>
      <c r="J22" s="5" t="s">
        <v>99</v>
      </c>
      <c r="K22" s="5" t="s">
        <v>100</v>
      </c>
    </row>
    <row r="24" customFormat="false" ht="15" hidden="false" customHeight="false" outlineLevel="0" collapsed="false">
      <c r="C24" s="7" t="s">
        <v>101</v>
      </c>
      <c r="F24" s="7" t="n">
        <f aca="false">SUMIF(G5:G22,"Cardstock",F5:F22)</f>
        <v>154</v>
      </c>
    </row>
    <row r="25" customFormat="false" ht="15" hidden="false" customHeight="false" outlineLevel="0" collapsed="false">
      <c r="C25" s="7" t="s">
        <v>102</v>
      </c>
      <c r="F25" s="7" t="n">
        <f aca="false">SUMIF(G5:G22,"Paper",F5:F22)</f>
        <v>93</v>
      </c>
    </row>
    <row r="26" customFormat="false" ht="15" hidden="false" customHeight="false" outlineLevel="0" collapsed="false">
      <c r="C26" s="7" t="s">
        <v>103</v>
      </c>
      <c r="F26" s="7" t="n">
        <f aca="false">SUM(F5:F22)</f>
        <v>247</v>
      </c>
    </row>
    <row r="27" customFormat="false" ht="15" hidden="false" customHeight="false" outlineLevel="0" collapsed="false">
      <c r="C27" s="7" t="s">
        <v>104</v>
      </c>
      <c r="F27" s="7" t="str">
        <f aca="false">COUNTIF(A5:A22,"Y")&amp;" of "&amp;COUNTA(C5:C22)</f>
        <v>0 of 18</v>
      </c>
    </row>
    <row r="29" customFormat="false" ht="27.75" hidden="false" customHeight="true" outlineLevel="0" collapsed="false">
      <c r="B29" s="2" t="s">
        <v>105</v>
      </c>
      <c r="C29" s="2"/>
      <c r="D29" s="2"/>
      <c r="E29" s="2"/>
      <c r="F29" s="2"/>
      <c r="G29" s="2"/>
      <c r="H29" s="2"/>
      <c r="I29" s="2"/>
      <c r="J29" s="2"/>
      <c r="K29" s="2"/>
    </row>
    <row r="30" customFormat="false" ht="27.75" hidden="false" customHeight="true" outlineLevel="0" collapsed="false">
      <c r="B30" s="2" t="s">
        <v>106</v>
      </c>
      <c r="C30" s="2"/>
      <c r="D30" s="2"/>
      <c r="E30" s="2"/>
      <c r="F30" s="2"/>
      <c r="G30" s="2"/>
      <c r="H30" s="2"/>
      <c r="I30" s="2"/>
      <c r="J30" s="2"/>
      <c r="K30" s="2"/>
    </row>
    <row r="31" customFormat="false" ht="27.75" hidden="false" customHeight="true" outlineLevel="0" collapsed="false">
      <c r="B31" s="2" t="s">
        <v>107</v>
      </c>
      <c r="C31" s="2"/>
      <c r="D31" s="2"/>
      <c r="E31" s="2"/>
      <c r="F31" s="2"/>
      <c r="G31" s="2"/>
      <c r="H31" s="2"/>
      <c r="I31" s="2"/>
      <c r="J31" s="2"/>
      <c r="K31" s="2"/>
    </row>
    <row r="32" customFormat="false" ht="27.75" hidden="false" customHeight="true" outlineLevel="0" collapsed="false">
      <c r="B32" s="2" t="s">
        <v>108</v>
      </c>
      <c r="C32" s="2"/>
      <c r="D32" s="2"/>
      <c r="E32" s="2"/>
      <c r="F32" s="2"/>
      <c r="G32" s="2"/>
      <c r="H32" s="2"/>
      <c r="I32" s="2"/>
      <c r="J32" s="2"/>
      <c r="K32" s="2"/>
    </row>
    <row r="33" customFormat="false" ht="27.75" hidden="false" customHeight="true" outlineLevel="0" collapsed="false">
      <c r="B33" s="2" t="s">
        <v>109</v>
      </c>
      <c r="C33" s="2"/>
      <c r="D33" s="2"/>
      <c r="E33" s="2"/>
      <c r="F33" s="2"/>
      <c r="G33" s="2"/>
      <c r="H33" s="2"/>
      <c r="I33" s="2"/>
      <c r="J33" s="2"/>
      <c r="K33" s="2"/>
    </row>
  </sheetData>
  <mergeCells count="6">
    <mergeCell ref="A2:K2"/>
    <mergeCell ref="B29:K29"/>
    <mergeCell ref="B30:K30"/>
    <mergeCell ref="B31:K31"/>
    <mergeCell ref="B32:K32"/>
    <mergeCell ref="B33:K33"/>
  </mergeCells>
  <dataValidations count="1">
    <dataValidation allowBlank="true" errorStyle="stop" operator="between" showDropDown="false" showErrorMessage="false" showInputMessage="false" sqref="A5:A22"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9"/>
    <col collapsed="false" customWidth="true" hidden="false" outlineLevel="0" max="4" min="4" style="0" width="10"/>
    <col collapsed="false" customWidth="true" hidden="false" outlineLevel="0" max="6" min="5" style="0" width="8"/>
    <col collapsed="false" customWidth="true" hidden="false" outlineLevel="0" max="10" min="7" style="0" width="10"/>
    <col collapsed="false" customWidth="true" hidden="false" outlineLevel="0" max="11" min="11" style="0" width="9"/>
    <col collapsed="false" customWidth="true" hidden="false" outlineLevel="0" max="12" min="12" style="0" width="40"/>
    <col collapsed="false" customWidth="true" hidden="false" outlineLevel="0" max="13" min="13" style="0" width="30"/>
    <col collapsed="false" customWidth="true" hidden="false" outlineLevel="0" max="14" min="14" style="0" width="9"/>
  </cols>
  <sheetData>
    <row r="1" customFormat="false" ht="17.35" hidden="false" customHeight="false" outlineLevel="0" collapsed="false">
      <c r="A1" s="1" t="s">
        <v>110</v>
      </c>
    </row>
    <row r="2" customFormat="false" ht="42" hidden="false" customHeight="true" outlineLevel="0" collapsed="false">
      <c r="A2" s="2" t="s">
        <v>111</v>
      </c>
      <c r="B2" s="2"/>
      <c r="C2" s="2"/>
      <c r="D2" s="2"/>
      <c r="E2" s="2"/>
      <c r="F2" s="2"/>
      <c r="G2" s="2"/>
      <c r="H2" s="2"/>
      <c r="I2" s="2"/>
      <c r="J2" s="2"/>
      <c r="K2" s="2"/>
      <c r="L2" s="2"/>
      <c r="M2" s="2"/>
    </row>
    <row r="4" customFormat="false" ht="46.25" hidden="false" customHeight="false" outlineLevel="0" collapsed="false">
      <c r="A4" s="3" t="s">
        <v>112</v>
      </c>
      <c r="B4" s="3" t="s">
        <v>113</v>
      </c>
      <c r="C4" s="3" t="s">
        <v>114</v>
      </c>
      <c r="D4" s="3" t="s">
        <v>115</v>
      </c>
      <c r="E4" s="3" t="s">
        <v>116</v>
      </c>
      <c r="F4" s="3" t="s">
        <v>117</v>
      </c>
      <c r="G4" s="3" t="s">
        <v>118</v>
      </c>
      <c r="H4" s="3" t="s">
        <v>119</v>
      </c>
      <c r="I4" s="3" t="s">
        <v>120</v>
      </c>
      <c r="J4" s="3" t="s">
        <v>121</v>
      </c>
      <c r="K4" s="3" t="s">
        <v>122</v>
      </c>
      <c r="L4" s="3" t="s">
        <v>123</v>
      </c>
      <c r="M4" s="3" t="s">
        <v>124</v>
      </c>
      <c r="N4" s="3" t="s">
        <v>125</v>
      </c>
    </row>
    <row r="5" customFormat="false" ht="15" hidden="false" customHeight="false" outlineLevel="0" collapsed="false">
      <c r="A5" s="5" t="s">
        <v>126</v>
      </c>
      <c r="B5" s="5" t="n">
        <v>2</v>
      </c>
      <c r="C5" s="5" t="n">
        <v>1</v>
      </c>
      <c r="D5" s="5" t="n">
        <v>72</v>
      </c>
      <c r="E5" s="5" t="n">
        <v>2</v>
      </c>
      <c r="F5" s="5" t="n">
        <v>0</v>
      </c>
      <c r="G5" s="5" t="n">
        <v>40</v>
      </c>
      <c r="H5" s="5" t="n">
        <v>36</v>
      </c>
      <c r="I5" s="5" t="n">
        <v>4</v>
      </c>
      <c r="J5" s="5" t="n">
        <v>18</v>
      </c>
      <c r="K5" s="5" t="n">
        <v>0</v>
      </c>
      <c r="L5" s="5"/>
      <c r="M5" s="5"/>
      <c r="N5" s="4"/>
    </row>
    <row r="6" customFormat="false" ht="23.85" hidden="false" customHeight="false" outlineLevel="0" collapsed="false">
      <c r="A6" s="5" t="s">
        <v>127</v>
      </c>
      <c r="B6" s="5" t="n">
        <v>0</v>
      </c>
      <c r="C6" s="5" t="n">
        <v>0</v>
      </c>
      <c r="D6" s="5" t="n">
        <v>0</v>
      </c>
      <c r="E6" s="5" t="n">
        <v>3</v>
      </c>
      <c r="F6" s="5" t="n">
        <v>3</v>
      </c>
      <c r="G6" s="5" t="n">
        <v>32</v>
      </c>
      <c r="H6" s="5" t="n">
        <v>14</v>
      </c>
      <c r="I6" s="5" t="n">
        <v>1</v>
      </c>
      <c r="J6" s="5" t="n">
        <v>20</v>
      </c>
      <c r="K6" s="5" t="n">
        <v>12</v>
      </c>
      <c r="L6" s="5" t="s">
        <v>128</v>
      </c>
      <c r="M6" s="5" t="s">
        <v>129</v>
      </c>
      <c r="N6" s="4"/>
    </row>
    <row r="7" customFormat="false" ht="15" hidden="false" customHeight="false" outlineLevel="0" collapsed="false">
      <c r="A7" s="5" t="s">
        <v>130</v>
      </c>
      <c r="B7" s="5" t="n">
        <v>2</v>
      </c>
      <c r="C7" s="5" t="n">
        <v>0</v>
      </c>
      <c r="D7" s="5" t="n">
        <v>24</v>
      </c>
      <c r="E7" s="5" t="n">
        <v>4</v>
      </c>
      <c r="F7" s="5" t="n">
        <v>0</v>
      </c>
      <c r="G7" s="5" t="n">
        <v>24</v>
      </c>
      <c r="H7" s="5" t="n">
        <v>11</v>
      </c>
      <c r="I7" s="5" t="n">
        <v>1</v>
      </c>
      <c r="J7" s="5" t="n">
        <v>16</v>
      </c>
      <c r="K7" s="5" t="n">
        <v>5</v>
      </c>
      <c r="L7" s="5" t="s">
        <v>131</v>
      </c>
      <c r="M7" s="5" t="s">
        <v>132</v>
      </c>
      <c r="N7" s="4"/>
    </row>
    <row r="8" customFormat="false" ht="15" hidden="false" customHeight="false" outlineLevel="0" collapsed="false">
      <c r="A8" s="5" t="s">
        <v>133</v>
      </c>
      <c r="B8" s="5" t="n">
        <v>2</v>
      </c>
      <c r="C8" s="5" t="n">
        <v>0</v>
      </c>
      <c r="D8" s="5" t="n">
        <v>42</v>
      </c>
      <c r="E8" s="5" t="n">
        <v>3</v>
      </c>
      <c r="F8" s="5" t="n">
        <v>0</v>
      </c>
      <c r="G8" s="5" t="n">
        <v>32</v>
      </c>
      <c r="H8" s="5" t="n">
        <v>7</v>
      </c>
      <c r="I8" s="5" t="n">
        <v>1</v>
      </c>
      <c r="J8" s="5" t="n">
        <v>11</v>
      </c>
      <c r="K8" s="5" t="n">
        <v>3</v>
      </c>
      <c r="L8" s="5" t="s">
        <v>134</v>
      </c>
      <c r="M8" s="5"/>
      <c r="N8" s="4"/>
    </row>
    <row r="9" customFormat="false" ht="23.85" hidden="false" customHeight="false" outlineLevel="0" collapsed="false">
      <c r="A9" s="5" t="s">
        <v>135</v>
      </c>
      <c r="B9" s="5" t="n">
        <v>3</v>
      </c>
      <c r="C9" s="5" t="n">
        <v>0</v>
      </c>
      <c r="D9" s="5" t="n">
        <v>18</v>
      </c>
      <c r="E9" s="5" t="n">
        <v>4</v>
      </c>
      <c r="F9" s="5" t="n">
        <v>1</v>
      </c>
      <c r="G9" s="5" t="n">
        <v>8</v>
      </c>
      <c r="H9" s="5" t="n">
        <v>0</v>
      </c>
      <c r="I9" s="5" t="n">
        <v>0</v>
      </c>
      <c r="J9" s="5" t="n">
        <v>0</v>
      </c>
      <c r="K9" s="5" t="n">
        <v>13</v>
      </c>
      <c r="L9" s="5" t="s">
        <v>136</v>
      </c>
      <c r="M9" s="5" t="s">
        <v>137</v>
      </c>
      <c r="N9" s="4"/>
    </row>
    <row r="10" customFormat="false" ht="15" hidden="false" customHeight="false" outlineLevel="0" collapsed="false">
      <c r="A10" s="5" t="s">
        <v>138</v>
      </c>
      <c r="B10" s="5" t="n">
        <v>0</v>
      </c>
      <c r="C10" s="5" t="n">
        <v>0</v>
      </c>
      <c r="D10" s="5" t="n">
        <v>0</v>
      </c>
      <c r="E10" s="5" t="n">
        <v>1</v>
      </c>
      <c r="F10" s="5" t="n">
        <v>0</v>
      </c>
      <c r="G10" s="5" t="n">
        <v>8</v>
      </c>
      <c r="H10" s="5" t="n">
        <v>0</v>
      </c>
      <c r="I10" s="5" t="n">
        <v>0</v>
      </c>
      <c r="J10" s="5" t="n">
        <v>0</v>
      </c>
      <c r="K10" s="5" t="n">
        <v>2</v>
      </c>
      <c r="L10" s="5" t="s">
        <v>139</v>
      </c>
      <c r="M10" s="5" t="s">
        <v>140</v>
      </c>
      <c r="N10" s="4"/>
    </row>
    <row r="11" customFormat="false" ht="15" hidden="false" customHeight="false" outlineLevel="0" collapsed="false">
      <c r="A11" s="5" t="s">
        <v>141</v>
      </c>
      <c r="B11" s="5" t="n">
        <v>0</v>
      </c>
      <c r="C11" s="5" t="n">
        <v>0</v>
      </c>
      <c r="D11" s="5" t="n">
        <v>0</v>
      </c>
      <c r="E11" s="5" t="n">
        <v>0</v>
      </c>
      <c r="F11" s="5" t="n">
        <v>0</v>
      </c>
      <c r="G11" s="5" t="n">
        <v>24</v>
      </c>
      <c r="H11" s="5" t="n">
        <v>0</v>
      </c>
      <c r="I11" s="5" t="n">
        <v>0</v>
      </c>
      <c r="J11" s="5" t="n">
        <v>0</v>
      </c>
      <c r="K11" s="5" t="n">
        <v>2</v>
      </c>
      <c r="L11" s="5" t="s">
        <v>142</v>
      </c>
      <c r="M11" s="5" t="s">
        <v>143</v>
      </c>
      <c r="N11" s="4"/>
    </row>
    <row r="12" customFormat="false" ht="15" hidden="false" customHeight="false" outlineLevel="0" collapsed="false">
      <c r="A12" s="7" t="s">
        <v>144</v>
      </c>
      <c r="B12" s="7" t="n">
        <f aca="false">SUM(B5:B11)</f>
        <v>9</v>
      </c>
      <c r="C12" s="7" t="n">
        <f aca="false">SUM(C5:C11)</f>
        <v>1</v>
      </c>
      <c r="D12" s="7" t="n">
        <f aca="false">SUM(D5:D11)</f>
        <v>156</v>
      </c>
      <c r="E12" s="7" t="n">
        <f aca="false">SUM(E5:E11)</f>
        <v>17</v>
      </c>
      <c r="F12" s="7" t="n">
        <f aca="false">SUM(F5:F11)</f>
        <v>4</v>
      </c>
      <c r="G12" s="7" t="n">
        <f aca="false">SUM(G5:G11)</f>
        <v>168</v>
      </c>
      <c r="H12" s="7" t="n">
        <f aca="false">SUM(H5:H11)</f>
        <v>68</v>
      </c>
      <c r="I12" s="7" t="n">
        <f aca="false">SUM(I5:I11)</f>
        <v>7</v>
      </c>
      <c r="J12" s="7" t="n">
        <f aca="false">SUM(J5:J11)</f>
        <v>65</v>
      </c>
      <c r="K12" s="7" t="n">
        <f aca="false">SUM(K5:K11)</f>
        <v>37</v>
      </c>
    </row>
    <row r="14" customFormat="false" ht="15" hidden="false" customHeight="false" outlineLevel="0" collapsed="false">
      <c r="A14" s="8" t="s">
        <v>145</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4" min="4" style="0" width="8"/>
    <col collapsed="false" customWidth="true" hidden="false" outlineLevel="0" max="5" min="5" style="0" width="46"/>
    <col collapsed="false" customWidth="true" hidden="false" outlineLevel="0" max="6" min="6" style="0" width="16"/>
    <col collapsed="false" customWidth="true" hidden="false" outlineLevel="0" max="7" min="7" style="0" width="34"/>
    <col collapsed="false" customWidth="true" hidden="false" outlineLevel="0" max="8" min="8" style="0" width="10"/>
  </cols>
  <sheetData>
    <row r="1" customFormat="false" ht="17.35" hidden="false" customHeight="false" outlineLevel="0" collapsed="false">
      <c r="A1" s="1" t="s">
        <v>146</v>
      </c>
    </row>
    <row r="2" customFormat="false" ht="15" hidden="false" customHeight="false" outlineLevel="0" collapsed="false">
      <c r="A2" s="8" t="s">
        <v>147</v>
      </c>
    </row>
    <row r="4" customFormat="false" ht="23.85" hidden="false" customHeight="false" outlineLevel="0" collapsed="false">
      <c r="A4" s="3" t="s">
        <v>148</v>
      </c>
      <c r="B4" s="3" t="s">
        <v>149</v>
      </c>
      <c r="C4" s="3" t="s">
        <v>150</v>
      </c>
      <c r="D4" s="3" t="s">
        <v>151</v>
      </c>
      <c r="E4" s="3" t="s">
        <v>152</v>
      </c>
      <c r="F4" s="3" t="s">
        <v>153</v>
      </c>
      <c r="G4" s="3" t="s">
        <v>112</v>
      </c>
      <c r="H4" s="3" t="s">
        <v>125</v>
      </c>
    </row>
    <row r="5" customFormat="false" ht="15" hidden="false" customHeight="false" outlineLevel="0" collapsed="false">
      <c r="A5" s="9" t="s">
        <v>154</v>
      </c>
      <c r="B5" s="9" t="n">
        <v>1</v>
      </c>
      <c r="C5" s="9" t="n">
        <v>1</v>
      </c>
      <c r="D5" s="9" t="s">
        <v>155</v>
      </c>
      <c r="E5" s="9" t="s">
        <v>156</v>
      </c>
      <c r="F5" s="9" t="s">
        <v>157</v>
      </c>
      <c r="G5" s="9" t="s">
        <v>135</v>
      </c>
      <c r="H5" s="10"/>
    </row>
    <row r="6" customFormat="false" ht="15" hidden="false" customHeight="false" outlineLevel="0" collapsed="false">
      <c r="A6" s="9" t="s">
        <v>154</v>
      </c>
      <c r="B6" s="9" t="n">
        <v>2</v>
      </c>
      <c r="C6" s="9" t="n">
        <v>2</v>
      </c>
      <c r="D6" s="9" t="s">
        <v>158</v>
      </c>
      <c r="E6" s="9" t="s">
        <v>159</v>
      </c>
      <c r="F6" s="9" t="s">
        <v>157</v>
      </c>
      <c r="G6" s="9" t="s">
        <v>135</v>
      </c>
      <c r="H6" s="10"/>
    </row>
    <row r="7" customFormat="false" ht="15" hidden="false" customHeight="false" outlineLevel="0" collapsed="false">
      <c r="A7" s="9" t="s">
        <v>154</v>
      </c>
      <c r="B7" s="9" t="n">
        <v>3</v>
      </c>
      <c r="C7" s="9" t="n">
        <v>3</v>
      </c>
      <c r="D7" s="9" t="s">
        <v>160</v>
      </c>
      <c r="E7" s="9" t="s">
        <v>161</v>
      </c>
      <c r="F7" s="9" t="s">
        <v>157</v>
      </c>
      <c r="G7" s="9" t="s">
        <v>135</v>
      </c>
      <c r="H7" s="10"/>
    </row>
    <row r="8" customFormat="false" ht="15" hidden="false" customHeight="false" outlineLevel="0" collapsed="false">
      <c r="A8" s="9" t="s">
        <v>154</v>
      </c>
      <c r="B8" s="9" t="n">
        <v>4</v>
      </c>
      <c r="C8" s="9" t="n">
        <v>4</v>
      </c>
      <c r="D8" s="9" t="s">
        <v>162</v>
      </c>
      <c r="E8" s="9" t="s">
        <v>163</v>
      </c>
      <c r="F8" s="9" t="s">
        <v>157</v>
      </c>
      <c r="G8" s="9" t="s">
        <v>135</v>
      </c>
      <c r="H8" s="10"/>
    </row>
    <row r="9" customFormat="false" ht="15" hidden="false" customHeight="false" outlineLevel="0" collapsed="false">
      <c r="A9" s="9" t="s">
        <v>154</v>
      </c>
      <c r="B9" s="9" t="n">
        <v>5</v>
      </c>
      <c r="C9" s="9" t="n">
        <v>5</v>
      </c>
      <c r="D9" s="9" t="s">
        <v>164</v>
      </c>
      <c r="E9" s="9" t="s">
        <v>165</v>
      </c>
      <c r="F9" s="9" t="s">
        <v>157</v>
      </c>
      <c r="G9" s="9" t="s">
        <v>135</v>
      </c>
      <c r="H9" s="10"/>
    </row>
    <row r="10" customFormat="false" ht="15" hidden="false" customHeight="false" outlineLevel="0" collapsed="false">
      <c r="A10" s="9" t="s">
        <v>154</v>
      </c>
      <c r="B10" s="9" t="n">
        <v>6</v>
      </c>
      <c r="C10" s="9" t="n">
        <v>6</v>
      </c>
      <c r="D10" s="9" t="s">
        <v>166</v>
      </c>
      <c r="E10" s="9" t="s">
        <v>167</v>
      </c>
      <c r="F10" s="9" t="s">
        <v>168</v>
      </c>
      <c r="G10" s="9" t="s">
        <v>141</v>
      </c>
      <c r="H10" s="10"/>
    </row>
    <row r="11" customFormat="false" ht="15" hidden="false" customHeight="false" outlineLevel="0" collapsed="false">
      <c r="A11" s="9" t="s">
        <v>154</v>
      </c>
      <c r="B11" s="9" t="n">
        <v>7</v>
      </c>
      <c r="C11" s="9" t="n">
        <v>7</v>
      </c>
      <c r="D11" s="9" t="s">
        <v>169</v>
      </c>
      <c r="E11" s="9" t="s">
        <v>170</v>
      </c>
      <c r="F11" s="9" t="s">
        <v>171</v>
      </c>
      <c r="G11" s="9" t="s">
        <v>135</v>
      </c>
      <c r="H11" s="10"/>
    </row>
    <row r="12" customFormat="false" ht="15" hidden="false" customHeight="false" outlineLevel="0" collapsed="false">
      <c r="A12" s="9" t="s">
        <v>154</v>
      </c>
      <c r="B12" s="9" t="n">
        <v>8</v>
      </c>
      <c r="C12" s="9" t="n">
        <v>8</v>
      </c>
      <c r="D12" s="9" t="s">
        <v>172</v>
      </c>
      <c r="E12" s="9" t="s">
        <v>173</v>
      </c>
      <c r="F12" s="9" t="s">
        <v>174</v>
      </c>
      <c r="G12" s="9" t="s">
        <v>135</v>
      </c>
      <c r="H12" s="10"/>
    </row>
    <row r="13" customFormat="false" ht="15" hidden="false" customHeight="false" outlineLevel="0" collapsed="false">
      <c r="A13" s="9" t="s">
        <v>154</v>
      </c>
      <c r="B13" s="9" t="n">
        <v>9</v>
      </c>
      <c r="C13" s="9" t="n">
        <v>9</v>
      </c>
      <c r="D13" s="9" t="s">
        <v>175</v>
      </c>
      <c r="E13" s="9" t="s">
        <v>176</v>
      </c>
      <c r="F13" s="9" t="s">
        <v>174</v>
      </c>
      <c r="G13" s="9" t="s">
        <v>135</v>
      </c>
      <c r="H13" s="10"/>
    </row>
    <row r="14" customFormat="false" ht="15" hidden="false" customHeight="false" outlineLevel="0" collapsed="false">
      <c r="A14" s="9" t="s">
        <v>154</v>
      </c>
      <c r="B14" s="9" t="n">
        <v>10</v>
      </c>
      <c r="C14" s="9" t="n">
        <v>10</v>
      </c>
      <c r="D14" s="9" t="s">
        <v>177</v>
      </c>
      <c r="E14" s="9" t="s">
        <v>178</v>
      </c>
      <c r="F14" s="9" t="s">
        <v>174</v>
      </c>
      <c r="G14" s="9" t="s">
        <v>135</v>
      </c>
      <c r="H14" s="10"/>
    </row>
    <row r="15" customFormat="false" ht="15" hidden="false" customHeight="false" outlineLevel="0" collapsed="false">
      <c r="A15" s="9" t="s">
        <v>154</v>
      </c>
      <c r="B15" s="9" t="n">
        <v>11</v>
      </c>
      <c r="C15" s="9" t="n">
        <v>12</v>
      </c>
      <c r="D15" s="9" t="s">
        <v>179</v>
      </c>
      <c r="E15" s="9" t="s">
        <v>180</v>
      </c>
      <c r="F15" s="9" t="s">
        <v>181</v>
      </c>
      <c r="G15" s="9" t="s">
        <v>135</v>
      </c>
      <c r="H15" s="10"/>
    </row>
    <row r="16" customFormat="false" ht="15" hidden="false" customHeight="false" outlineLevel="0" collapsed="false">
      <c r="A16" s="9" t="s">
        <v>154</v>
      </c>
      <c r="B16" s="9" t="n">
        <v>12</v>
      </c>
      <c r="C16" s="9" t="n">
        <v>13</v>
      </c>
      <c r="D16" s="9" t="s">
        <v>182</v>
      </c>
      <c r="E16" s="9" t="s">
        <v>183</v>
      </c>
      <c r="F16" s="9" t="s">
        <v>184</v>
      </c>
      <c r="G16" s="9" t="s">
        <v>130</v>
      </c>
      <c r="H16" s="10"/>
    </row>
    <row r="17" customFormat="false" ht="15" hidden="false" customHeight="false" outlineLevel="0" collapsed="false">
      <c r="A17" s="9" t="s">
        <v>154</v>
      </c>
      <c r="B17" s="9" t="n">
        <v>13</v>
      </c>
      <c r="C17" s="9" t="n">
        <v>14</v>
      </c>
      <c r="D17" s="9" t="s">
        <v>185</v>
      </c>
      <c r="E17" s="9" t="s">
        <v>186</v>
      </c>
      <c r="F17" s="9" t="s">
        <v>184</v>
      </c>
      <c r="G17" s="9" t="s">
        <v>130</v>
      </c>
      <c r="H17" s="10"/>
    </row>
    <row r="18" customFormat="false" ht="15" hidden="false" customHeight="false" outlineLevel="0" collapsed="false">
      <c r="A18" s="9" t="s">
        <v>154</v>
      </c>
      <c r="B18" s="9" t="n">
        <v>14</v>
      </c>
      <c r="C18" s="9" t="n">
        <v>15</v>
      </c>
      <c r="D18" s="9" t="s">
        <v>187</v>
      </c>
      <c r="E18" s="9" t="s">
        <v>188</v>
      </c>
      <c r="F18" s="9" t="s">
        <v>184</v>
      </c>
      <c r="G18" s="9" t="s">
        <v>130</v>
      </c>
      <c r="H18" s="10"/>
    </row>
    <row r="19" customFormat="false" ht="15" hidden="false" customHeight="false" outlineLevel="0" collapsed="false">
      <c r="A19" s="9" t="s">
        <v>154</v>
      </c>
      <c r="B19" s="9" t="n">
        <v>15</v>
      </c>
      <c r="C19" s="9" t="n">
        <v>17</v>
      </c>
      <c r="D19" s="9" t="s">
        <v>189</v>
      </c>
      <c r="E19" s="9" t="s">
        <v>190</v>
      </c>
      <c r="F19" s="9" t="s">
        <v>184</v>
      </c>
      <c r="G19" s="9" t="s">
        <v>141</v>
      </c>
      <c r="H19" s="10"/>
    </row>
    <row r="20" customFormat="false" ht="15" hidden="false" customHeight="false" outlineLevel="0" collapsed="false">
      <c r="A20" s="9" t="s">
        <v>154</v>
      </c>
      <c r="B20" s="9" t="n">
        <v>16</v>
      </c>
      <c r="C20" s="9" t="n">
        <v>18</v>
      </c>
      <c r="D20" s="9" t="s">
        <v>191</v>
      </c>
      <c r="E20" s="9" t="s">
        <v>192</v>
      </c>
      <c r="F20" s="9" t="s">
        <v>184</v>
      </c>
      <c r="G20" s="9" t="s">
        <v>130</v>
      </c>
      <c r="H20" s="10"/>
    </row>
    <row r="21" customFormat="false" ht="15" hidden="false" customHeight="false" outlineLevel="0" collapsed="false">
      <c r="A21" s="9" t="s">
        <v>154</v>
      </c>
      <c r="B21" s="9" t="n">
        <v>17</v>
      </c>
      <c r="C21" s="9" t="n">
        <v>20</v>
      </c>
      <c r="D21" s="9" t="s">
        <v>193</v>
      </c>
      <c r="E21" s="9" t="s">
        <v>194</v>
      </c>
      <c r="F21" s="9" t="s">
        <v>184</v>
      </c>
      <c r="G21" s="9" t="s">
        <v>130</v>
      </c>
      <c r="H21" s="10"/>
    </row>
    <row r="22" customFormat="false" ht="15" hidden="false" customHeight="false" outlineLevel="0" collapsed="false">
      <c r="A22" s="9" t="s">
        <v>154</v>
      </c>
      <c r="B22" s="9" t="n">
        <v>18</v>
      </c>
      <c r="C22" s="9" t="n">
        <v>21</v>
      </c>
      <c r="D22" s="9" t="s">
        <v>195</v>
      </c>
      <c r="E22" s="9" t="s">
        <v>196</v>
      </c>
      <c r="F22" s="9" t="s">
        <v>197</v>
      </c>
      <c r="G22" s="9" t="s">
        <v>133</v>
      </c>
      <c r="H22" s="10"/>
    </row>
    <row r="23" customFormat="false" ht="15" hidden="false" customHeight="false" outlineLevel="0" collapsed="false">
      <c r="A23" s="9" t="s">
        <v>154</v>
      </c>
      <c r="B23" s="9" t="n">
        <v>19</v>
      </c>
      <c r="C23" s="9" t="n">
        <v>22</v>
      </c>
      <c r="D23" s="9" t="s">
        <v>198</v>
      </c>
      <c r="E23" s="9" t="s">
        <v>199</v>
      </c>
      <c r="F23" s="9" t="s">
        <v>197</v>
      </c>
      <c r="G23" s="9" t="s">
        <v>133</v>
      </c>
      <c r="H23" s="10"/>
    </row>
    <row r="24" customFormat="false" ht="15" hidden="false" customHeight="false" outlineLevel="0" collapsed="false">
      <c r="A24" s="9" t="s">
        <v>154</v>
      </c>
      <c r="B24" s="9" t="n">
        <v>20</v>
      </c>
      <c r="C24" s="9" t="n">
        <v>23</v>
      </c>
      <c r="D24" s="9" t="s">
        <v>200</v>
      </c>
      <c r="E24" s="9" t="s">
        <v>201</v>
      </c>
      <c r="F24" s="9" t="s">
        <v>197</v>
      </c>
      <c r="G24" s="9" t="s">
        <v>133</v>
      </c>
      <c r="H24" s="10"/>
    </row>
    <row r="25" customFormat="false" ht="15" hidden="false" customHeight="false" outlineLevel="0" collapsed="false">
      <c r="A25" s="9" t="s">
        <v>154</v>
      </c>
      <c r="B25" s="9" t="n">
        <v>21</v>
      </c>
      <c r="C25" s="9" t="n">
        <v>24</v>
      </c>
      <c r="D25" s="9" t="s">
        <v>202</v>
      </c>
      <c r="E25" s="9" t="s">
        <v>203</v>
      </c>
      <c r="F25" s="9" t="s">
        <v>204</v>
      </c>
      <c r="G25" s="9" t="s">
        <v>135</v>
      </c>
      <c r="H25" s="10"/>
    </row>
    <row r="26" customFormat="false" ht="15" hidden="false" customHeight="false" outlineLevel="0" collapsed="false">
      <c r="A26" s="9" t="s">
        <v>154</v>
      </c>
      <c r="B26" s="9" t="n">
        <v>22</v>
      </c>
      <c r="C26" s="9" t="n">
        <v>25</v>
      </c>
      <c r="D26" s="9" t="s">
        <v>205</v>
      </c>
      <c r="E26" s="9" t="s">
        <v>206</v>
      </c>
      <c r="F26" s="9" t="s">
        <v>204</v>
      </c>
      <c r="G26" s="9" t="s">
        <v>135</v>
      </c>
      <c r="H26" s="10"/>
    </row>
    <row r="27" customFormat="false" ht="15" hidden="false" customHeight="false" outlineLevel="0" collapsed="false">
      <c r="A27" s="9" t="s">
        <v>154</v>
      </c>
      <c r="B27" s="9" t="n">
        <v>23</v>
      </c>
      <c r="C27" s="9" t="n">
        <v>26</v>
      </c>
      <c r="D27" s="9" t="s">
        <v>207</v>
      </c>
      <c r="E27" s="9" t="s">
        <v>208</v>
      </c>
      <c r="F27" s="9" t="s">
        <v>209</v>
      </c>
      <c r="G27" s="9" t="s">
        <v>135</v>
      </c>
      <c r="H27" s="10"/>
    </row>
    <row r="28" customFormat="false" ht="15" hidden="false" customHeight="false" outlineLevel="0" collapsed="false">
      <c r="A28" s="9" t="s">
        <v>154</v>
      </c>
      <c r="B28" s="9" t="n">
        <v>24</v>
      </c>
      <c r="C28" s="9" t="n">
        <v>27</v>
      </c>
      <c r="D28" s="9" t="s">
        <v>210</v>
      </c>
      <c r="E28" s="9" t="s">
        <v>211</v>
      </c>
      <c r="F28" s="9" t="s">
        <v>212</v>
      </c>
      <c r="G28" s="9" t="s">
        <v>127</v>
      </c>
      <c r="H28" s="10"/>
    </row>
    <row r="29" customFormat="false" ht="15" hidden="false" customHeight="false" outlineLevel="0" collapsed="false">
      <c r="A29" s="9" t="s">
        <v>154</v>
      </c>
      <c r="B29" s="9" t="n">
        <v>25</v>
      </c>
      <c r="C29" s="9" t="n">
        <v>28</v>
      </c>
      <c r="D29" s="9" t="s">
        <v>213</v>
      </c>
      <c r="E29" s="9" t="s">
        <v>214</v>
      </c>
      <c r="F29" s="9" t="s">
        <v>212</v>
      </c>
      <c r="G29" s="9" t="s">
        <v>127</v>
      </c>
      <c r="H29" s="10"/>
    </row>
    <row r="30" customFormat="false" ht="15" hidden="false" customHeight="false" outlineLevel="0" collapsed="false">
      <c r="A30" s="9" t="s">
        <v>154</v>
      </c>
      <c r="B30" s="9" t="n">
        <v>26</v>
      </c>
      <c r="C30" s="9" t="n">
        <v>29</v>
      </c>
      <c r="D30" s="9" t="s">
        <v>215</v>
      </c>
      <c r="E30" s="9" t="s">
        <v>216</v>
      </c>
      <c r="F30" s="9" t="s">
        <v>212</v>
      </c>
      <c r="G30" s="9" t="s">
        <v>127</v>
      </c>
      <c r="H30" s="10"/>
    </row>
    <row r="31" customFormat="false" ht="15" hidden="false" customHeight="false" outlineLevel="0" collapsed="false">
      <c r="A31" s="9" t="s">
        <v>154</v>
      </c>
      <c r="B31" s="9" t="n">
        <v>27</v>
      </c>
      <c r="C31" s="9" t="n">
        <v>30</v>
      </c>
      <c r="D31" s="9" t="s">
        <v>217</v>
      </c>
      <c r="E31" s="9" t="s">
        <v>218</v>
      </c>
      <c r="F31" s="9" t="s">
        <v>212</v>
      </c>
      <c r="G31" s="9" t="s">
        <v>127</v>
      </c>
      <c r="H31" s="10"/>
    </row>
    <row r="32" customFormat="false" ht="15" hidden="false" customHeight="false" outlineLevel="0" collapsed="false">
      <c r="A32" s="9" t="s">
        <v>154</v>
      </c>
      <c r="B32" s="9" t="n">
        <v>28</v>
      </c>
      <c r="C32" s="9" t="n">
        <v>31</v>
      </c>
      <c r="D32" s="9" t="s">
        <v>219</v>
      </c>
      <c r="E32" s="9" t="s">
        <v>220</v>
      </c>
      <c r="F32" s="9" t="s">
        <v>212</v>
      </c>
      <c r="G32" s="9" t="s">
        <v>127</v>
      </c>
      <c r="H32" s="10"/>
    </row>
    <row r="33" customFormat="false" ht="15" hidden="false" customHeight="false" outlineLevel="0" collapsed="false">
      <c r="A33" s="9" t="s">
        <v>154</v>
      </c>
      <c r="B33" s="9" t="n">
        <v>29</v>
      </c>
      <c r="C33" s="9" t="n">
        <v>32</v>
      </c>
      <c r="D33" s="9" t="s">
        <v>221</v>
      </c>
      <c r="E33" s="9" t="s">
        <v>222</v>
      </c>
      <c r="F33" s="9" t="s">
        <v>212</v>
      </c>
      <c r="G33" s="9" t="s">
        <v>127</v>
      </c>
      <c r="H33" s="10"/>
    </row>
    <row r="34" customFormat="false" ht="15" hidden="false" customHeight="false" outlineLevel="0" collapsed="false">
      <c r="A34" s="9" t="s">
        <v>154</v>
      </c>
      <c r="B34" s="9" t="n">
        <v>30</v>
      </c>
      <c r="C34" s="9" t="n">
        <v>33</v>
      </c>
      <c r="D34" s="9" t="s">
        <v>223</v>
      </c>
      <c r="E34" s="9" t="s">
        <v>224</v>
      </c>
      <c r="F34" s="9" t="s">
        <v>212</v>
      </c>
      <c r="G34" s="9" t="s">
        <v>127</v>
      </c>
      <c r="H34" s="10"/>
    </row>
    <row r="35" customFormat="false" ht="15" hidden="false" customHeight="false" outlineLevel="0" collapsed="false">
      <c r="A35" s="9" t="s">
        <v>154</v>
      </c>
      <c r="B35" s="9" t="n">
        <v>31</v>
      </c>
      <c r="C35" s="9" t="n">
        <v>35</v>
      </c>
      <c r="D35" s="9" t="s">
        <v>225</v>
      </c>
      <c r="E35" s="9" t="s">
        <v>226</v>
      </c>
      <c r="F35" s="9" t="s">
        <v>212</v>
      </c>
      <c r="G35" s="9" t="s">
        <v>127</v>
      </c>
      <c r="H35" s="10"/>
    </row>
    <row r="36" customFormat="false" ht="15" hidden="false" customHeight="false" outlineLevel="0" collapsed="false">
      <c r="A36" s="9" t="s">
        <v>154</v>
      </c>
      <c r="B36" s="9" t="n">
        <v>32</v>
      </c>
      <c r="C36" s="9" t="n">
        <v>36</v>
      </c>
      <c r="D36" s="9" t="s">
        <v>227</v>
      </c>
      <c r="E36" s="9" t="s">
        <v>228</v>
      </c>
      <c r="F36" s="9" t="s">
        <v>212</v>
      </c>
      <c r="G36" s="9" t="s">
        <v>127</v>
      </c>
      <c r="H36" s="10"/>
    </row>
    <row r="37" customFormat="false" ht="15" hidden="false" customHeight="false" outlineLevel="0" collapsed="false">
      <c r="A37" s="9" t="s">
        <v>154</v>
      </c>
      <c r="B37" s="9" t="n">
        <v>33</v>
      </c>
      <c r="C37" s="9" t="n">
        <v>37</v>
      </c>
      <c r="D37" s="9" t="s">
        <v>229</v>
      </c>
      <c r="E37" s="9" t="s">
        <v>230</v>
      </c>
      <c r="F37" s="9" t="s">
        <v>212</v>
      </c>
      <c r="G37" s="9" t="s">
        <v>127</v>
      </c>
      <c r="H37" s="10"/>
    </row>
    <row r="38" customFormat="false" ht="15" hidden="false" customHeight="false" outlineLevel="0" collapsed="false">
      <c r="A38" s="9" t="s">
        <v>154</v>
      </c>
      <c r="B38" s="9" t="n">
        <v>34</v>
      </c>
      <c r="C38" s="9" t="n">
        <v>38</v>
      </c>
      <c r="D38" s="9" t="s">
        <v>231</v>
      </c>
      <c r="E38" s="9" t="s">
        <v>232</v>
      </c>
      <c r="F38" s="9" t="s">
        <v>212</v>
      </c>
      <c r="G38" s="9" t="s">
        <v>127</v>
      </c>
      <c r="H38" s="10"/>
    </row>
    <row r="39" customFormat="false" ht="15" hidden="false" customHeight="false" outlineLevel="0" collapsed="false">
      <c r="A39" s="9" t="s">
        <v>154</v>
      </c>
      <c r="B39" s="9" t="n">
        <v>35</v>
      </c>
      <c r="C39" s="9" t="n">
        <v>39</v>
      </c>
      <c r="D39" s="9" t="s">
        <v>233</v>
      </c>
      <c r="E39" s="9" t="s">
        <v>234</v>
      </c>
      <c r="F39" s="9" t="s">
        <v>235</v>
      </c>
      <c r="G39" s="9" t="s">
        <v>127</v>
      </c>
      <c r="H39" s="10"/>
    </row>
    <row r="40" customFormat="false" ht="15" hidden="false" customHeight="false" outlineLevel="0" collapsed="false">
      <c r="A40" s="9" t="s">
        <v>154</v>
      </c>
      <c r="B40" s="9" t="n">
        <v>36</v>
      </c>
      <c r="C40" s="9" t="n">
        <v>40</v>
      </c>
      <c r="D40" s="9" t="s">
        <v>236</v>
      </c>
      <c r="E40" s="9" t="s">
        <v>237</v>
      </c>
      <c r="F40" s="9" t="s">
        <v>238</v>
      </c>
      <c r="G40" s="9" t="s">
        <v>138</v>
      </c>
      <c r="H40" s="10"/>
    </row>
    <row r="41" customFormat="false" ht="15" hidden="false" customHeight="false" outlineLevel="0" collapsed="false">
      <c r="A41" s="9" t="s">
        <v>154</v>
      </c>
      <c r="B41" s="9" t="n">
        <v>37</v>
      </c>
      <c r="C41" s="9" t="n">
        <v>41</v>
      </c>
      <c r="D41" s="9" t="s">
        <v>239</v>
      </c>
      <c r="E41" s="9" t="s">
        <v>240</v>
      </c>
      <c r="F41" s="9" t="s">
        <v>241</v>
      </c>
      <c r="G41" s="9" t="s">
        <v>138</v>
      </c>
      <c r="H41" s="10"/>
    </row>
    <row r="42" customFormat="false" ht="15" hidden="false" customHeight="false" outlineLevel="0" collapsed="false">
      <c r="A42" s="9" t="s">
        <v>242</v>
      </c>
      <c r="B42" s="9" t="n">
        <v>1</v>
      </c>
      <c r="C42" s="9" t="n">
        <v>1</v>
      </c>
      <c r="D42" s="9" t="s">
        <v>243</v>
      </c>
      <c r="E42" s="9" t="s">
        <v>156</v>
      </c>
      <c r="F42" s="9" t="s">
        <v>157</v>
      </c>
      <c r="G42" s="9" t="s">
        <v>135</v>
      </c>
      <c r="H42" s="10"/>
    </row>
    <row r="43" customFormat="false" ht="15" hidden="false" customHeight="false" outlineLevel="0" collapsed="false">
      <c r="A43" s="9" t="s">
        <v>242</v>
      </c>
      <c r="B43" s="9" t="n">
        <v>2</v>
      </c>
      <c r="C43" s="9" t="n">
        <v>2</v>
      </c>
      <c r="D43" s="9" t="s">
        <v>244</v>
      </c>
      <c r="E43" s="9" t="s">
        <v>159</v>
      </c>
      <c r="F43" s="9" t="s">
        <v>157</v>
      </c>
      <c r="G43" s="9" t="s">
        <v>135</v>
      </c>
      <c r="H43" s="10"/>
    </row>
    <row r="44" customFormat="false" ht="15" hidden="false" customHeight="false" outlineLevel="0" collapsed="false">
      <c r="A44" s="9" t="s">
        <v>242</v>
      </c>
      <c r="B44" s="9" t="n">
        <v>3</v>
      </c>
      <c r="C44" s="9" t="n">
        <v>4</v>
      </c>
      <c r="D44" s="9" t="s">
        <v>245</v>
      </c>
      <c r="E44" s="9" t="s">
        <v>163</v>
      </c>
      <c r="F44" s="9" t="s">
        <v>157</v>
      </c>
      <c r="G44" s="9" t="s">
        <v>135</v>
      </c>
      <c r="H44" s="10"/>
    </row>
    <row r="45" customFormat="false" ht="15" hidden="false" customHeight="false" outlineLevel="0" collapsed="false">
      <c r="A45" s="9" t="s">
        <v>242</v>
      </c>
      <c r="B45" s="9" t="n">
        <v>4</v>
      </c>
      <c r="C45" s="9" t="n">
        <v>6</v>
      </c>
      <c r="D45" s="9" t="s">
        <v>143</v>
      </c>
      <c r="E45" s="9" t="s">
        <v>167</v>
      </c>
      <c r="F45" s="9" t="s">
        <v>168</v>
      </c>
      <c r="G45" s="9" t="s">
        <v>141</v>
      </c>
      <c r="H45" s="10"/>
    </row>
    <row r="46" customFormat="false" ht="15" hidden="false" customHeight="false" outlineLevel="0" collapsed="false">
      <c r="A46" s="9" t="s">
        <v>242</v>
      </c>
      <c r="B46" s="9" t="n">
        <v>5</v>
      </c>
      <c r="C46" s="9" t="n">
        <v>7</v>
      </c>
      <c r="D46" s="9" t="s">
        <v>246</v>
      </c>
      <c r="E46" s="9" t="s">
        <v>170</v>
      </c>
      <c r="F46" s="9" t="s">
        <v>171</v>
      </c>
      <c r="G46" s="9" t="s">
        <v>135</v>
      </c>
      <c r="H46" s="10"/>
    </row>
    <row r="47" customFormat="false" ht="15" hidden="false" customHeight="false" outlineLevel="0" collapsed="false">
      <c r="A47" s="9" t="s">
        <v>242</v>
      </c>
      <c r="B47" s="9" t="n">
        <v>6</v>
      </c>
      <c r="C47" s="9" t="n">
        <v>8</v>
      </c>
      <c r="D47" s="9" t="s">
        <v>247</v>
      </c>
      <c r="E47" s="9" t="s">
        <v>173</v>
      </c>
      <c r="F47" s="9" t="s">
        <v>174</v>
      </c>
      <c r="G47" s="9" t="s">
        <v>135</v>
      </c>
      <c r="H47" s="10"/>
    </row>
    <row r="48" customFormat="false" ht="15" hidden="false" customHeight="false" outlineLevel="0" collapsed="false">
      <c r="A48" s="9" t="s">
        <v>242</v>
      </c>
      <c r="B48" s="9" t="n">
        <v>7</v>
      </c>
      <c r="C48" s="9" t="n">
        <v>11</v>
      </c>
      <c r="D48" s="9" t="s">
        <v>248</v>
      </c>
      <c r="E48" s="9" t="s">
        <v>249</v>
      </c>
      <c r="F48" s="9" t="s">
        <v>174</v>
      </c>
      <c r="G48" s="9" t="s">
        <v>135</v>
      </c>
      <c r="H48" s="10"/>
    </row>
    <row r="49" customFormat="false" ht="15" hidden="false" customHeight="false" outlineLevel="0" collapsed="false">
      <c r="A49" s="9" t="s">
        <v>242</v>
      </c>
      <c r="B49" s="9" t="n">
        <v>8</v>
      </c>
      <c r="C49" s="9" t="n">
        <v>13</v>
      </c>
      <c r="D49" s="9" t="s">
        <v>250</v>
      </c>
      <c r="E49" s="9" t="s">
        <v>183</v>
      </c>
      <c r="F49" s="9" t="s">
        <v>184</v>
      </c>
      <c r="G49" s="9" t="s">
        <v>130</v>
      </c>
      <c r="H49" s="10"/>
    </row>
    <row r="50" customFormat="false" ht="15" hidden="false" customHeight="false" outlineLevel="0" collapsed="false">
      <c r="A50" s="9" t="s">
        <v>242</v>
      </c>
      <c r="B50" s="9" t="n">
        <v>9</v>
      </c>
      <c r="C50" s="9" t="n">
        <v>14</v>
      </c>
      <c r="D50" s="9" t="s">
        <v>251</v>
      </c>
      <c r="E50" s="9" t="s">
        <v>186</v>
      </c>
      <c r="F50" s="9" t="s">
        <v>184</v>
      </c>
      <c r="G50" s="9" t="s">
        <v>130</v>
      </c>
      <c r="H50" s="10"/>
    </row>
    <row r="51" customFormat="false" ht="15" hidden="false" customHeight="false" outlineLevel="0" collapsed="false">
      <c r="A51" s="9" t="s">
        <v>242</v>
      </c>
      <c r="B51" s="9" t="n">
        <v>10</v>
      </c>
      <c r="C51" s="9" t="n">
        <v>16</v>
      </c>
      <c r="D51" s="9" t="s">
        <v>252</v>
      </c>
      <c r="E51" s="9" t="s">
        <v>253</v>
      </c>
      <c r="F51" s="9" t="s">
        <v>184</v>
      </c>
      <c r="G51" s="9" t="s">
        <v>130</v>
      </c>
      <c r="H51" s="10"/>
    </row>
    <row r="52" customFormat="false" ht="15" hidden="false" customHeight="false" outlineLevel="0" collapsed="false">
      <c r="A52" s="9" t="s">
        <v>242</v>
      </c>
      <c r="B52" s="9" t="n">
        <v>11</v>
      </c>
      <c r="C52" s="9" t="n">
        <v>19</v>
      </c>
      <c r="D52" s="9" t="s">
        <v>254</v>
      </c>
      <c r="E52" s="9" t="s">
        <v>255</v>
      </c>
      <c r="F52" s="9" t="s">
        <v>184</v>
      </c>
      <c r="G52" s="9" t="s">
        <v>130</v>
      </c>
      <c r="H52" s="10"/>
    </row>
    <row r="53" customFormat="false" ht="15" hidden="false" customHeight="false" outlineLevel="0" collapsed="false">
      <c r="A53" s="9" t="s">
        <v>242</v>
      </c>
      <c r="B53" s="9" t="n">
        <v>12</v>
      </c>
      <c r="C53" s="9" t="n">
        <v>24</v>
      </c>
      <c r="D53" s="9" t="s">
        <v>256</v>
      </c>
      <c r="E53" s="9" t="s">
        <v>203</v>
      </c>
      <c r="F53" s="9" t="s">
        <v>204</v>
      </c>
      <c r="G53" s="9" t="s">
        <v>135</v>
      </c>
      <c r="H53" s="10"/>
    </row>
    <row r="54" customFormat="false" ht="15" hidden="false" customHeight="false" outlineLevel="0" collapsed="false">
      <c r="A54" s="9" t="s">
        <v>242</v>
      </c>
      <c r="B54" s="9" t="n">
        <v>13</v>
      </c>
      <c r="C54" s="9" t="n">
        <v>25</v>
      </c>
      <c r="D54" s="9" t="s">
        <v>257</v>
      </c>
      <c r="E54" s="9" t="s">
        <v>206</v>
      </c>
      <c r="F54" s="9" t="s">
        <v>204</v>
      </c>
      <c r="G54" s="9" t="s">
        <v>135</v>
      </c>
      <c r="H54" s="10"/>
    </row>
    <row r="55" customFormat="false" ht="15" hidden="false" customHeight="false" outlineLevel="0" collapsed="false">
      <c r="A55" s="9" t="s">
        <v>242</v>
      </c>
      <c r="B55" s="9" t="n">
        <v>14</v>
      </c>
      <c r="C55" s="9" t="n">
        <v>28</v>
      </c>
      <c r="D55" s="9" t="s">
        <v>258</v>
      </c>
      <c r="E55" s="9" t="s">
        <v>214</v>
      </c>
      <c r="F55" s="9" t="s">
        <v>212</v>
      </c>
      <c r="G55" s="9" t="s">
        <v>127</v>
      </c>
      <c r="H55" s="10"/>
    </row>
    <row r="56" customFormat="false" ht="15" hidden="false" customHeight="false" outlineLevel="0" collapsed="false">
      <c r="A56" s="9" t="s">
        <v>242</v>
      </c>
      <c r="B56" s="9" t="n">
        <v>15</v>
      </c>
      <c r="C56" s="9" t="n">
        <v>29</v>
      </c>
      <c r="D56" s="9" t="s">
        <v>259</v>
      </c>
      <c r="E56" s="9" t="s">
        <v>216</v>
      </c>
      <c r="F56" s="9" t="s">
        <v>212</v>
      </c>
      <c r="G56" s="9" t="s">
        <v>127</v>
      </c>
      <c r="H56" s="10"/>
    </row>
    <row r="57" customFormat="false" ht="15" hidden="false" customHeight="false" outlineLevel="0" collapsed="false">
      <c r="A57" s="9" t="s">
        <v>242</v>
      </c>
      <c r="B57" s="9" t="n">
        <v>16</v>
      </c>
      <c r="C57" s="9" t="n">
        <v>30</v>
      </c>
      <c r="D57" s="9" t="s">
        <v>260</v>
      </c>
      <c r="E57" s="9" t="s">
        <v>218</v>
      </c>
      <c r="F57" s="9" t="s">
        <v>212</v>
      </c>
      <c r="G57" s="9" t="s">
        <v>127</v>
      </c>
      <c r="H57" s="10"/>
    </row>
    <row r="58" customFormat="false" ht="15" hidden="false" customHeight="false" outlineLevel="0" collapsed="false">
      <c r="A58" s="9" t="s">
        <v>242</v>
      </c>
      <c r="B58" s="9" t="n">
        <v>17</v>
      </c>
      <c r="C58" s="9" t="n">
        <v>31</v>
      </c>
      <c r="D58" s="9" t="s">
        <v>261</v>
      </c>
      <c r="E58" s="9" t="s">
        <v>220</v>
      </c>
      <c r="F58" s="9" t="s">
        <v>212</v>
      </c>
      <c r="G58" s="9" t="s">
        <v>127</v>
      </c>
      <c r="H58" s="10"/>
    </row>
    <row r="59" customFormat="false" ht="15" hidden="false" customHeight="false" outlineLevel="0" collapsed="false">
      <c r="A59" s="9" t="s">
        <v>242</v>
      </c>
      <c r="B59" s="9" t="n">
        <v>18</v>
      </c>
      <c r="C59" s="9" t="n">
        <v>34</v>
      </c>
      <c r="D59" s="9" t="s">
        <v>262</v>
      </c>
      <c r="E59" s="9" t="s">
        <v>263</v>
      </c>
      <c r="F59" s="9" t="s">
        <v>212</v>
      </c>
      <c r="G59" s="9" t="s">
        <v>127</v>
      </c>
      <c r="H59" s="10"/>
    </row>
    <row r="60" customFormat="false" ht="15" hidden="false" customHeight="false" outlineLevel="0" collapsed="false">
      <c r="A60" s="9" t="s">
        <v>242</v>
      </c>
      <c r="B60" s="9" t="n">
        <v>19</v>
      </c>
      <c r="C60" s="9" t="n">
        <v>39</v>
      </c>
      <c r="D60" s="9" t="s">
        <v>264</v>
      </c>
      <c r="E60" s="9" t="s">
        <v>234</v>
      </c>
      <c r="F60" s="9" t="s">
        <v>235</v>
      </c>
      <c r="G60" s="9" t="s">
        <v>127</v>
      </c>
      <c r="H60" s="10"/>
    </row>
    <row r="61" customFormat="false" ht="15" hidden="false" customHeight="false" outlineLevel="0" collapsed="false">
      <c r="A61" s="9" t="s">
        <v>242</v>
      </c>
      <c r="B61" s="9" t="n">
        <v>20</v>
      </c>
      <c r="C61" s="9" t="n">
        <v>40</v>
      </c>
      <c r="D61" s="9" t="s">
        <v>265</v>
      </c>
      <c r="E61" s="9" t="s">
        <v>237</v>
      </c>
      <c r="F61" s="9" t="s">
        <v>238</v>
      </c>
      <c r="G61" s="9" t="s">
        <v>138</v>
      </c>
      <c r="H61" s="10"/>
    </row>
    <row r="62" customFormat="false" ht="15" hidden="false" customHeight="false" outlineLevel="0" collapsed="false">
      <c r="A62" s="9" t="s">
        <v>242</v>
      </c>
      <c r="B62" s="9" t="n">
        <v>21</v>
      </c>
      <c r="C62" s="9" t="n">
        <v>41</v>
      </c>
      <c r="D62" s="9" t="s">
        <v>266</v>
      </c>
      <c r="E62" s="9" t="s">
        <v>240</v>
      </c>
      <c r="F62" s="9" t="s">
        <v>241</v>
      </c>
      <c r="G62" s="9" t="s">
        <v>138</v>
      </c>
      <c r="H62" s="10"/>
    </row>
  </sheetData>
  <autoFilter ref="A4:H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2026-10-22T12:02:24Z</dcterms:created>
  <dc:creator>openpyxl</dc:creator>
  <dc:description/>
  <dc:language>en-US</dc:language>
  <cp:lastModifiedBy/>
  <dcterms:modified xsi:type="dcterms:W3CDTF">2026-10-22T12:02:24Z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