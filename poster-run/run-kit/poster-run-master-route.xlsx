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route" sheetId="2" state="visible" r:id="rId4"/>
    <sheet name="Mail from home" sheetId="3" state="visible" r:id="rId5"/>
  </sheets>
  <definedNames>
    <definedName function="false" hidden="true" localSheetId="1" name="_xlnm._FilterDatabase" vbProcedure="false">'Master route'!$A$4:$P$142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<sst xmlns="http://schemas.openxmlformats.org/spreadsheetml/2006/main" count="1612" uniqueCount="790">
  <si>
    <t xml:space="preserve">Poster run: all 4 brands in one go</t>
  </si>
  <si>
    <t xml:space="preserve">Waypoint, Waypoint Apps, Staffkin and Keegix stop lists merged: one row per place, so one visit covers every brand that goes there.</t>
  </si>
  <si>
    <t xml:space="preserve">Outing</t>
  </si>
  <si>
    <t xml:space="preserve">Stops</t>
  </si>
  <si>
    <t xml:space="preserve">Done</t>
  </si>
  <si>
    <t xml:space="preserve">Priority 1</t>
  </si>
  <si>
    <t xml:space="preserve">1 · Weekday daytime (half day off or lunch hours)</t>
  </si>
  <si>
    <t xml:space="preserve">2 · Saturday: Wolfville &amp; Grand Pré (start 8:30 at the market)</t>
  </si>
  <si>
    <t xml:space="preserve">3 · Kentville &amp; Coldbrook (weekend, or a weeknight before 6)</t>
  </si>
  <si>
    <t xml:space="preserve">4 · New Minas (any evening or weekend)</t>
  </si>
  <si>
    <t xml:space="preserve">5 · West Saturday (Annapolis Royal → Canning)</t>
  </si>
  <si>
    <t xml:space="preserve">5b · Hantsport &amp; Windsor (add-on, low priority)</t>
  </si>
  <si>
    <t xml:space="preserve">6 · Seasonal / special days</t>
  </si>
  <si>
    <t xml:space="preserve">All in-person stops</t>
  </si>
  <si>
    <t xml:space="preserve">Mail from home (Keegix letters + Staffkin postcards)</t>
  </si>
  <si>
    <t xml:space="preserve">How to use</t>
  </si>
  <si>
    <t xml:space="preserve">• Print everything once (see poster-run-print-list.xlsx), then work outing by outing on the Master route tab. Filter column B to one outing.</t>
  </si>
  <si>
    <t xml:space="preserve">• Each row says what to leave per brand. Brands column: W = Waypoint, A = Waypoint Apps, S = Staffkin, K = Keegix.</t>
  </si>
  <si>
    <t xml:space="preserve">• Keegix pieces are numbered per spot (cards C##, flyer L##): grab the right page for each stop so scans can be traced.</t>
  </si>
  <si>
    <t xml:space="preserve">• Restaurants (Staffkin): go 2–4 pm, never at lunch or dinner rush. Offices: weekdays only.</t>
  </si>
  <si>
    <t xml:space="preserve">• Ask first everywhere. Boards get cleared every 2–4 weeks, so re-post in the first week of each month.</t>
  </si>
  <si>
    <t xml:space="preserve">Decisions made for you (change them if you like)</t>
  </si>
  <si>
    <t xml:space="preserve">• Waypoint flyer: design B "Still doing it by hand?" at trades counters, design A at the coworking space.</t>
  </si>
  <si>
    <t xml:space="preserve">• Apps poster: design B "Selling at markets?" at farm and farmers' markets, design A (tear-offs) everywhere else.</t>
  </si>
  <si>
    <t xml:space="preserve">• Keegix: card option A (yellow key cards) + flyer option 4 (Airbnb house rules) until Nov 20, then flyer option 3 (tear-off).</t>
  </si>
  <si>
    <t xml:space="preserve">• Keegix spots had no priority in the source list, so Keegix-only stops are set to priority 2.</t>
  </si>
  <si>
    <t xml:space="preserve">• Outings are grouped by opening hours from the source lists (Google Maps, 21 Oct 2026). Check hours before a long drive.</t>
  </si>
  <si>
    <t xml:space="preserve">Sources: poster-run/waypoint-flyer-run.xlsx, staffkin-flyer-stops.xlsx, keegix/2-lists/keegix-dropoff-spots-valley.xlsx, keegix/2-lists/mail-30.csv (Social-posts repo, 21 Oct 2026).</t>
  </si>
  <si>
    <t xml:space="preserve">Poster run: master route (all 4 brands)</t>
  </si>
  <si>
    <t xml:space="preserve">One row per place. Each brand column says what to leave there; blank = nothing for that brand. Grouped into outings by when places are open. Fill the yellow Done column with Y.</t>
  </si>
  <si>
    <t xml:space="preserve">Done:</t>
  </si>
  <si>
    <t xml:space="preserve">#</t>
  </si>
  <si>
    <t xml:space="preserve">Town</t>
  </si>
  <si>
    <t xml:space="preserve">Place</t>
  </si>
  <si>
    <t xml:space="preserve">Address (paste into Maps)</t>
  </si>
  <si>
    <t xml:space="preserve">Hours (check first)</t>
  </si>
  <si>
    <t xml:space="preserve">Priority</t>
  </si>
  <si>
    <t xml:space="preserve">Brands</t>
  </si>
  <si>
    <t xml:space="preserve">Waypoint: leave</t>
  </si>
  <si>
    <t xml:space="preserve">Apps: leave</t>
  </si>
  <si>
    <t xml:space="preserve">Staffkin: leave</t>
  </si>
  <si>
    <t xml:space="preserve">Keegix: leave (codes)</t>
  </si>
  <si>
    <t xml:space="preserve">What to say</t>
  </si>
  <si>
    <t xml:space="preserve">Notes</t>
  </si>
  <si>
    <t xml:space="preserve">Map</t>
  </si>
  <si>
    <t xml:space="preserve">Done (Y)</t>
  </si>
  <si>
    <t xml:space="preserve">1</t>
  </si>
  <si>
    <t xml:space="preserve">Kentville</t>
  </si>
  <si>
    <t xml:space="preserve">Computerized Business Solutions</t>
  </si>
  <si>
    <t xml:space="preserve">Suite 500, 946 Park St, Kentville, NS B4N 3V7</t>
  </si>
  <si>
    <t xml:space="preserve">S</t>
  </si>
  <si>
    <t xml:space="preserve">Counter card (A) in person</t>
  </si>
  <si>
    <t xml:space="preserve">Staffkin: "I saw you're hiring a receptionist. Staffkin does the job ad, interview questions and reference checks. First job is free."</t>
  </si>
  <si>
    <t xml:space="preserve">Hiring: Receptionist.</t>
  </si>
  <si>
    <t xml:space="preserve">Open</t>
  </si>
  <si>
    <t xml:space="preserve">Taylor MacLellan Cochrane</t>
  </si>
  <si>
    <t xml:space="preserve">50 Bridge St, Kentville, NS B4N 2E4</t>
  </si>
  <si>
    <t xml:space="preserve">Staffkin: "I saw you're hiring a paralegal. Staffkin does the job ad, interview questions and reference checks. First job is free."</t>
  </si>
  <si>
    <t xml:space="preserve">Hiring: Paralegal.</t>
  </si>
  <si>
    <t xml:space="preserve">White Rock Mechanical</t>
  </si>
  <si>
    <t xml:space="preserve">51 Chipman Dr #1, Kentville, NS B4N 3V7</t>
  </si>
  <si>
    <t xml:space="preserve">8:30 AM – 4:30 PM</t>
  </si>
  <si>
    <t xml:space="preserve">Pocket card (D) or counter card (A)</t>
  </si>
  <si>
    <t xml:space="preserve">Staffkin: Leave with the front desk for the owner. Best time: Weekday 10 am–3 pm.</t>
  </si>
  <si>
    <t xml:space="preserve">White Rock Electrical Services Ltd</t>
  </si>
  <si>
    <t xml:space="preserve">87 Chipman Dr #1, Kentville, NS B4N 3V7</t>
  </si>
  <si>
    <t xml:space="preserve">Kent &amp; Duffett Chartered Professional Accountants</t>
  </si>
  <si>
    <t xml:space="preserve">46 Chipman Dr Unit 1, Kentville, NS B4N 3V7</t>
  </si>
  <si>
    <t xml:space="preserve">Weekdays</t>
  </si>
  <si>
    <t xml:space="preserve">W S</t>
  </si>
  <si>
    <t xml:space="preserve">counter cards (C) (small stack)</t>
  </si>
  <si>
    <t xml:space="preserve">3 counter cards (A)</t>
  </si>
  <si>
    <t xml:space="preserve">Waypoint/Apps: Cards for clients still doing invoices by hand.
Staffkin: Ask who handles small-business clients. Mention the partner program (they earn on referrals). Best time: Weekday mid-morning.</t>
  </si>
  <si>
    <t xml:space="preserve">Hours not listed; check before going.</t>
  </si>
  <si>
    <t xml:space="preserve">Credit Union Rec Complex</t>
  </si>
  <si>
    <t xml:space="preserve">38 Gary Pearl Dr, Kentville, NS</t>
  </si>
  <si>
    <t xml:space="preserve">A</t>
  </si>
  <si>
    <t xml:space="preserve">poster A tear-off "Digitize your whole business" on board</t>
  </si>
  <si>
    <t xml:space="preserve">Waypoint/Apps: Ask at the front desk.</t>
  </si>
  <si>
    <t xml:space="preserve">Troy Bennett's Auto Repair &amp; Service</t>
  </si>
  <si>
    <t xml:space="preserve">28 lyons drive, Kentville, NS B4N 3V7</t>
  </si>
  <si>
    <t xml:space="preserve">8:00 AM – 5:00 PM</t>
  </si>
  <si>
    <t xml:space="preserve">Pocket card (D)</t>
  </si>
  <si>
    <t xml:space="preserve">Staffkin: Leave a card for the owner or service manager. Best time: Weekday 10 am–3 pm.</t>
  </si>
  <si>
    <t xml:space="preserve">Kentville Recreation Centre</t>
  </si>
  <si>
    <t xml:space="preserve">348 Main St, Kentville, NS</t>
  </si>
  <si>
    <t xml:space="preserve">Mon–Fri 8:30–4:30</t>
  </si>
  <si>
    <t xml:space="preserve">Bage CPA</t>
  </si>
  <si>
    <t xml:space="preserve">402 Main St, Kentville, NS B4N 1K8</t>
  </si>
  <si>
    <t xml:space="preserve">10:00 AM – 4:00 PM</t>
  </si>
  <si>
    <t xml:space="preserve">Staffkin: Ask who handles small-business clients. Mention the partner program (they earn on referrals). Best time: Weekday mid-morning.</t>
  </si>
  <si>
    <t xml:space="preserve">Mister Printer</t>
  </si>
  <si>
    <t xml:space="preserve">409 Main St, Kentville, NS B4N 2E2</t>
  </si>
  <si>
    <t xml:space="preserve">8:30 AM – 5:00 PM</t>
  </si>
  <si>
    <t xml:space="preserve">Board poster (C)</t>
  </si>
  <si>
    <t xml:space="preserve">Staffkin: Ask if they have a community or business board. Best time: Opening hours.</t>
  </si>
  <si>
    <t xml:space="preserve">CBDC Hants-Kings</t>
  </si>
  <si>
    <t xml:space="preserve">448 Main St, Kentville, NS B4N 1R5</t>
  </si>
  <si>
    <t xml:space="preserve">W A S</t>
  </si>
  <si>
    <t xml:space="preserve">take-one cards (C) (small stack)</t>
  </si>
  <si>
    <t xml:space="preserve">Waypoint/Apps: They lend to and advise new owners. Ask to leave cards for clients and if you can drop off more later.
Staffkin: Ask to put the poster on the board and a few cards in the brochure rack for members. Best time: Weekday 9 am–4 pm.</t>
  </si>
  <si>
    <t xml:space="preserve">Lends to small businesses; their clients are your customers.</t>
  </si>
  <si>
    <t xml:space="preserve">Valley Regional Enterprise Network (Valley REN)</t>
  </si>
  <si>
    <t xml:space="preserve">counter cards (C)</t>
  </si>
  <si>
    <t xml:space="preserve">take-one cards (C)</t>
  </si>
  <si>
    <t xml:space="preserve">Waypoint/Apps: Same building as CBDC. Ask about their business newsletter and leaving cards.
Staffkin: Ask to put the poster on the board and a few cards in the brochure rack for members. Best time: Weekday 9 am–4 pm.</t>
  </si>
  <si>
    <t xml:space="preserve">Annapolis Valley Chamber of Commerce</t>
  </si>
  <si>
    <t xml:space="preserve">Mon–Fri 8:30–4</t>
  </si>
  <si>
    <t xml:space="preserve">Board poster (C) + 5 counter cards (A)</t>
  </si>
  <si>
    <t xml:space="preserve">Waypoint/Apps: Ask about the members' board, the newsletter, and leaving cards.
Staffkin: Ask to put the poster on the board and a few cards in the brochure rack for members. Best time: Weekday 9 am–4 pm.</t>
  </si>
  <si>
    <t xml:space="preserve">Same building as CBDC, Valley REN and Valley Business Hub: one stop, four offices.</t>
  </si>
  <si>
    <t xml:space="preserve">Valley Business Hub</t>
  </si>
  <si>
    <t xml:space="preserve">Staffkin: Ask to put the poster on the board and a few cards in the brochure rack for members. Best time: Weekday 9 am–4 pm.</t>
  </si>
  <si>
    <t xml:space="preserve">mbf Chartered Professional Accountants</t>
  </si>
  <si>
    <t xml:space="preserve">464 Main St, Kentville, NS B4N 1K8</t>
  </si>
  <si>
    <t xml:space="preserve">Waypoint/Apps: Ask if you can leave a few cards for clients who are still on paper. Don't pitch the apps here.
Staffkin: Ask who handles small-business clients. Mention the partner program (they earn on referrals). Best time: Weekday mid-morning.</t>
  </si>
  <si>
    <t xml:space="preserve">Greg Dodge's Auto Repair</t>
  </si>
  <si>
    <t xml:space="preserve">81 New Canaan Rd, Kentville, NS B4N 4K1</t>
  </si>
  <si>
    <t xml:space="preserve">Ron Martin's Plumbing and Heating 2022 Ltd</t>
  </si>
  <si>
    <t xml:space="preserve">913 Park St, Kentville, NS B4N 5H3</t>
  </si>
  <si>
    <t xml:space="preserve">8:00 AM – 4:30 PM</t>
  </si>
  <si>
    <t xml:space="preserve">Van Meekeren Farms Ltd.</t>
  </si>
  <si>
    <t xml:space="preserve">237 Thorpe Rd, Kentville, NS B4N 3V7</t>
  </si>
  <si>
    <t xml:space="preserve">Staffkin: "I saw you're hiring a fruit packer. Staffkin does the job ad, interview questions and reference checks. First job is free."</t>
  </si>
  <si>
    <t xml:space="preserve">Hiring: Fruit packer.</t>
  </si>
  <si>
    <t xml:space="preserve">Infinite Solutions Bookkeeping &amp; Accounting</t>
  </si>
  <si>
    <t xml:space="preserve">25 Webster Ct, Kentville, NS B4N 1H3</t>
  </si>
  <si>
    <t xml:space="preserve">Waypoint/Apps: Same ask as accountants: cards for clients drowning in paperwork.
Staffkin: Ask who handles small-business clients. Mention the partner program (they earn on referrals). Best time: Weekday mid-morning.</t>
  </si>
  <si>
    <t xml:space="preserve">Best partner fit: bookkeepers see hiring pain first.</t>
  </si>
  <si>
    <t xml:space="preserve">Doane Grant Thornton LLP</t>
  </si>
  <si>
    <t xml:space="preserve">15 Webster St, Kentville, NS B4N 1H4</t>
  </si>
  <si>
    <t xml:space="preserve">9:00 AM – 5:00 PM</t>
  </si>
  <si>
    <t xml:space="preserve">Larger firm; lower odds.</t>
  </si>
  <si>
    <t xml:space="preserve">The Space and Company (coworking)</t>
  </si>
  <si>
    <t xml:space="preserve">10 Webster St #210, Kentville, NS</t>
  </si>
  <si>
    <t xml:space="preserve">W A</t>
  </si>
  <si>
    <t xml:space="preserve">flyer A "I make the software fit" on board</t>
  </si>
  <si>
    <t xml:space="preserve">Waypoint/Apps: Freelancers and small owners work here. Ask to leave cards in the common area.</t>
  </si>
  <si>
    <t xml:space="preserve">Coldbrook</t>
  </si>
  <si>
    <t xml:space="preserve">Stoddart's Automotive Service Ltd.</t>
  </si>
  <si>
    <t xml:space="preserve">6961 Nova Scotia Trunk 1, Coldbrook, NS B4R 1C5</t>
  </si>
  <si>
    <t xml:space="preserve">New Minas</t>
  </si>
  <si>
    <t xml:space="preserve">Repracorp Design and Print</t>
  </si>
  <si>
    <t xml:space="preserve">8927 Commercial St, New Minas, NS</t>
  </si>
  <si>
    <t xml:space="preserve">Mon–Fri 8–5</t>
  </si>
  <si>
    <t xml:space="preserve">Waypoint/Apps: Business print customers. Ask at the front.
Staffkin: Ask if they have a community or business board. Best time: Opening hours.</t>
  </si>
  <si>
    <t xml:space="preserve">Panda Print</t>
  </si>
  <si>
    <t xml:space="preserve">9146 Commercial St, New Minas, NS</t>
  </si>
  <si>
    <t xml:space="preserve">Mon–Fri 9–5</t>
  </si>
  <si>
    <t xml:space="preserve">Waypoint/Apps: Owners print signs and cards here. Ask to leave cards on the counter.
Staffkin: Ask if they have a community or business board. Best time: Opening hours.</t>
  </si>
  <si>
    <t xml:space="preserve">Valley Credit Union</t>
  </si>
  <si>
    <t xml:space="preserve">9237 Commercial St, New Minas, NS</t>
  </si>
  <si>
    <t xml:space="preserve">Mon–Fri 10–4</t>
  </si>
  <si>
    <t xml:space="preserve">W</t>
  </si>
  <si>
    <t xml:space="preserve">Waypoint/Apps: Business banking. Ask whether they have a board or take cards.</t>
  </si>
  <si>
    <t xml:space="preserve">Fleetworx Inc.</t>
  </si>
  <si>
    <t xml:space="preserve">64 Minas Warehouse Rd, New Minas, NS B4N 5G3</t>
  </si>
  <si>
    <t xml:space="preserve">Waypoint/Apps: Fleet owners. Cards at the counter.
Staffkin: "I saw you're hiring a refrigeration mechanic. Staffkin does the job ad, interview questions and reference checks. First job is free."</t>
  </si>
  <si>
    <t xml:space="preserve">Hiring: Refrigeration mechanic.</t>
  </si>
  <si>
    <t xml:space="preserve">Valley Power Products (rentals)</t>
  </si>
  <si>
    <t xml:space="preserve">9 Nova Dr, New Minas, NS B4N 3G7</t>
  </si>
  <si>
    <t xml:space="preserve">Mon–Fri 7:30–5</t>
  </si>
  <si>
    <t xml:space="preserve">flyer B "Still doing it by hand?" on board + counter cards (C) (small stack)</t>
  </si>
  <si>
    <t xml:space="preserve">Waypoint/Apps: Contractors rent here. Ask about a board or cards at the counter.</t>
  </si>
  <si>
    <t xml:space="preserve">Greenwich</t>
  </si>
  <si>
    <t xml:space="preserve">TNT Tool Rental &amp; Safety</t>
  </si>
  <si>
    <t xml:space="preserve">9776 Hwy 1, Greenwich, NS B4P 0A7</t>
  </si>
  <si>
    <t xml:space="preserve">2</t>
  </si>
  <si>
    <t xml:space="preserve">Noggins Corner Farm Market</t>
  </si>
  <si>
    <t xml:space="preserve">10009 Hwy 1, Greenwich, NS</t>
  </si>
  <si>
    <t xml:space="preserve">Daily 8–8</t>
  </si>
  <si>
    <t xml:space="preserve">poster B "Selling at markets?" on board</t>
  </si>
  <si>
    <t xml:space="preserve">Waypoint/Apps: Local producers sell here. Ask about the board.</t>
  </si>
  <si>
    <t xml:space="preserve">Hennigar's Farm Market</t>
  </si>
  <si>
    <t xml:space="preserve">10272, Nova Scotia Trunk 1, Wolfville, NS B4P 2R2</t>
  </si>
  <si>
    <t xml:space="preserve">Mon–Fri 8am–7pm, Sat 8am–7pm, Sun 8am–7pm</t>
  </si>
  <si>
    <t xml:space="preserve">A K</t>
  </si>
  <si>
    <t xml:space="preserve">Key cards at the till + flyer (cards C28, flyer L28)</t>
  </si>
  <si>
    <t xml:space="preserve">Waypoint/Apps: Local producers sell here. Ask about the board.
Keegix: Very busy (1,600+ reviews)</t>
  </si>
  <si>
    <t xml:space="preserve">Wolfville</t>
  </si>
  <si>
    <t xml:space="preserve">Rafuse Home Hardware Building Centre</t>
  </si>
  <si>
    <t xml:space="preserve">180 Dykeland St, Wolfville, NS B4P 1A2</t>
  </si>
  <si>
    <t xml:space="preserve">Mon 7:30am–5:30pm, Tue 7:30am–5:30pm, Wed 7:30am–5:30pm, Thu 7:30am–5:30pm, Fri 7:30am–6pm, Sat 8am–5pm, Sun 10am–5pm</t>
  </si>
  <si>
    <t xml:space="preserve">S K</t>
  </si>
  <si>
    <t xml:space="preserve">Small stack of pocket cards (D)</t>
  </si>
  <si>
    <t xml:space="preserve">Key cards at the till (ask) (cards C35, flyer L35)</t>
  </si>
  <si>
    <t xml:space="preserve">Staffkin: Ask if you can leave a few cards at the contractor desk. Best time: Mid-morning, after the 7–9 am contractor rush.
Keegix: Wolfville</t>
  </si>
  <si>
    <t xml:space="preserve">Jeju Restaurant</t>
  </si>
  <si>
    <t xml:space="preserve">8 Elm Ave, Wolfville, NS B4P 1Z9</t>
  </si>
  <si>
    <t xml:space="preserve">Staffkin: "I saw you're hiring a chef. Staffkin does the job ad, interview questions and reference checks. First job is free."</t>
  </si>
  <si>
    <t xml:space="preserve">Hiring: Chef.</t>
  </si>
  <si>
    <t xml:space="preserve">Troy Restaurant &amp; Grill</t>
  </si>
  <si>
    <t xml:space="preserve">12D Elm Ave, Wolfville, NS B4P 1Z9</t>
  </si>
  <si>
    <t xml:space="preserve">11:00 AM – 8:00 PM</t>
  </si>
  <si>
    <t xml:space="preserve">Counter card (A)</t>
  </si>
  <si>
    <t xml:space="preserve">Staffkin: Ask for the owner or manager. "If you're ever hiring, this does the ad, interviews and reference checks. First job is free." Best time: 2–4 pm, never lunch rush.</t>
  </si>
  <si>
    <t xml:space="preserve">Realm Boutique</t>
  </si>
  <si>
    <t xml:space="preserve">12 Elm Ave, Wolfville, NS B4P 1Z9</t>
  </si>
  <si>
    <t xml:space="preserve">10:00 AM – 6:00 PM</t>
  </si>
  <si>
    <t xml:space="preserve">Staffkin: Leave a card for the owner. Best time: Weekday, quiet times.</t>
  </si>
  <si>
    <t xml:space="preserve">Charts Café</t>
  </si>
  <si>
    <t xml:space="preserve">16 Elm Ave, Wolfville, NS B4P 2S2</t>
  </si>
  <si>
    <t xml:space="preserve">Mon–Fri 7:30am–6pm, Sat 7:30am–6pm, Sun 7:30am–6pm</t>
  </si>
  <si>
    <t xml:space="preserve">A S K</t>
  </si>
  <si>
    <t xml:space="preserve">Key cards + flyer/tent (cards C29, flyer L29)</t>
  </si>
  <si>
    <t xml:space="preserve">Waypoint/Apps: Ask at the counter.
Staffkin: Ask for the owner or manager. "If you're ever hiring, this does the ad, interviews and reference checks. First job is free." Best time: 2–4 pm, never lunch rush.
Keegix: Wolfville, next to the farmers market</t>
  </si>
  <si>
    <t xml:space="preserve">Wolfville Memorial Library</t>
  </si>
  <si>
    <t xml:space="preserve">21 Elm Ave, Wolfville, NS B4P 2A1</t>
  </si>
  <si>
    <t xml:space="preserve">Mon Closed, Tue 12–8pm, Wed 10am–6pm, Thu 12–8pm, Fri 10am–6pm, Sat 10am–5pm, Sun Closed</t>
  </si>
  <si>
    <t xml:space="preserve">Flyer on the community board (cards C34, flyer L34)</t>
  </si>
  <si>
    <t xml:space="preserve">Waypoint/Apps: Community board inside. Ask staff.
Staffkin: Ask the desk before pinning it up. Best time: Opening hours.
Keegix: Free community board</t>
  </si>
  <si>
    <t xml:space="preserve">Wolfville Farmers' Market</t>
  </si>
  <si>
    <t xml:space="preserve">24 Elm Ave, Wolfville, NS B4P 1Z9</t>
  </si>
  <si>
    <t xml:space="preserve">Mon–Fri Closed, Sat 8:30am–1pm, Sun Closed</t>
  </si>
  <si>
    <t xml:space="preserve">poster B "Selling at markets?" on board + take-one cards (C) (small stack)</t>
  </si>
  <si>
    <t xml:space="preserve">Key cards at the info table (ask) (cards C33, flyer L33)</t>
  </si>
  <si>
    <t xml:space="preserve">Waypoint/Apps: Saturday mornings. Ask the market office about the board, then talk to vendors.
Keegix: Biggest market in the Valley, Saturdays</t>
  </si>
  <si>
    <t xml:space="preserve">Li's Wok &amp; Grill</t>
  </si>
  <si>
    <t xml:space="preserve">112 Front St, Wolfville, NS</t>
  </si>
  <si>
    <t xml:space="preserve">Staffkin: "I saw you're hiring a cook. Staffkin does the job ad, interview questions and reference checks. First job is free."</t>
  </si>
  <si>
    <t xml:space="preserve">Hiring: Cook.</t>
  </si>
  <si>
    <t xml:space="preserve">Acadia Students' Union</t>
  </si>
  <si>
    <t xml:space="preserve">30 Highland Ave, Wolfville, NS</t>
  </si>
  <si>
    <t xml:space="preserve">Daily</t>
  </si>
  <si>
    <t xml:space="preserve">Waypoint/Apps: Poster rules apply. Ask at the front desk for a stamp.</t>
  </si>
  <si>
    <t xml:space="preserve">Royal Canadian Legion Branch 74</t>
  </si>
  <si>
    <t xml:space="preserve">310 Main St, Wolfville, NS</t>
  </si>
  <si>
    <t xml:space="preserve">Tue–Sat</t>
  </si>
  <si>
    <t xml:space="preserve">Waypoint/Apps: Hall board. Ask a volunteer.</t>
  </si>
  <si>
    <t xml:space="preserve">The Church Brewing Co</t>
  </si>
  <si>
    <t xml:space="preserve">329 Main St, Wolfville, NS B4P 1C4</t>
  </si>
  <si>
    <t xml:space="preserve">11:30 AM – 9:00 PM</t>
  </si>
  <si>
    <t xml:space="preserve">Staffkin: Ask for the owner or manager. "If you're ever hiring, this does the ad, interviews and reference checks. First job is free." Best time: 2–4 pm, never lunch rush.
Staffkin: "I saw you're hiring a supervisor. Staffkin does the job ad, interview questions and reference checks. First job is free."</t>
  </si>
  <si>
    <t xml:space="preserve">Hiring: Supervisor, server, kitchen team. No date on the posting; may be older.</t>
  </si>
  <si>
    <t xml:space="preserve">T.A.N. Coffee Wolfville</t>
  </si>
  <si>
    <t xml:space="preserve">378 Main St, Wolfville, NS B4P 2B8</t>
  </si>
  <si>
    <t xml:space="preserve">Mon–Fri 7am–8pm, Sat 8am–6pm, Sun 8am–6pm</t>
  </si>
  <si>
    <t xml:space="preserve">Key cards + flyer/tent (cards C31, flyer L31)</t>
  </si>
  <si>
    <t xml:space="preserve">Waypoint/Apps: Ask at the counter.
Staffkin: Ask for the owner or manager. "If you're ever hiring, this does the ad, interviews and reference checks. First job is free." Best time: 2–4 pm, never lunch rush.
Keegix: Wolfville Main St, busy</t>
  </si>
  <si>
    <t xml:space="preserve">MacKay Real Estate</t>
  </si>
  <si>
    <t xml:space="preserve">382 Main St, Wolfville, NS B4P 2B8</t>
  </si>
  <si>
    <t xml:space="preserve">Mon–Fri 9am–5pm, Sat 10am–2pm, Sun Closed</t>
  </si>
  <si>
    <t xml:space="preserve">K</t>
  </si>
  <si>
    <t xml:space="preserve">Hand key cards to an agent (cards C36, flyer L36)</t>
  </si>
  <si>
    <t xml:space="preserve">Keegix: Agents sell to people buying rentals</t>
  </si>
  <si>
    <t xml:space="preserve">Wild Lily</t>
  </si>
  <si>
    <t xml:space="preserve">385 Main St, Wolfville, NS B4P 2B8</t>
  </si>
  <si>
    <t xml:space="preserve">10:00 AM – 5:00 PM</t>
  </si>
  <si>
    <t xml:space="preserve">Juniper Luncheonette</t>
  </si>
  <si>
    <t xml:space="preserve">389 Main St, Wolfville, NS B4P 2B8</t>
  </si>
  <si>
    <t xml:space="preserve">Mon Closed, Tue Closed, Wed 11am–5pm, Thu 11am–5pm, Fri 11am–5pm, Sat 11am–5pm, Sun 11am–5pm</t>
  </si>
  <si>
    <t xml:space="preserve">Key cards at the till (cards C32, flyer L32)</t>
  </si>
  <si>
    <t xml:space="preserve">Keegix: Wolfville Main St</t>
  </si>
  <si>
    <t xml:space="preserve">Jane’s Again</t>
  </si>
  <si>
    <t xml:space="preserve">390 Main St, Wolfville, NS B4P 1A4</t>
  </si>
  <si>
    <t xml:space="preserve">Joe's Food Emporium</t>
  </si>
  <si>
    <t xml:space="preserve">434 Main St, Wolfville, NS B4P 2A1</t>
  </si>
  <si>
    <t xml:space="preserve">10:00 AM – 11:00 PM</t>
  </si>
  <si>
    <t xml:space="preserve">Staffkin: Ask for the owner or manager. "If you're ever hiring, this does the ad, interviews and reference checks. First job is free." Best time: 2–4 pm, never lunch rush.
Staffkin: "I saw you're hiring a line cook. Staffkin does the job ad, interview questions and reference checks. First job is free."</t>
  </si>
  <si>
    <t xml:space="preserve">Hiring: Line cook; restaurant assistant manager.</t>
  </si>
  <si>
    <t xml:space="preserve">Just Us! Wolfville Café</t>
  </si>
  <si>
    <t xml:space="preserve">450 Main St, Wolfville, NS B4P 2A1</t>
  </si>
  <si>
    <t xml:space="preserve">Mon 8am–4pm, Tue 8am–4pm, Wed 8am–4pm, Thu 8am–4pm, Fri 8am–6pm, Sat 8am–6pm, Sun 8am–6pm</t>
  </si>
  <si>
    <t xml:space="preserve">Key cards + flyer/tent (cards C30, flyer L30)</t>
  </si>
  <si>
    <t xml:space="preserve">Valley Girl Boutique</t>
  </si>
  <si>
    <t xml:space="preserve">452 Main St, Wolfville, NS B4P 2A1</t>
  </si>
  <si>
    <t xml:space="preserve">Paddy's Brewpub &amp; Rosie's Restaurant</t>
  </si>
  <si>
    <t xml:space="preserve">460 Main St, Wolfville, NS B4P 2A1</t>
  </si>
  <si>
    <t xml:space="preserve">11:00 AM – 11:00 PM</t>
  </si>
  <si>
    <t xml:space="preserve">Staffkin: Ask for the owner or manager. "If you're ever hiring, this does the ad, interviews and reference checks. First job is free." Best time: 2–4 pm, never lunch rush.
Staffkin: "I saw you're hiring a cook. Staffkin does the job ad, interview questions and reference checks. First job is free."</t>
  </si>
  <si>
    <t xml:space="preserve">The Market - Groove Merchants</t>
  </si>
  <si>
    <t xml:space="preserve">466 Main St, Wolfville, NS B4P 2A1</t>
  </si>
  <si>
    <t xml:space="preserve">The Library Pub</t>
  </si>
  <si>
    <t xml:space="preserve">472 Main St, Wolfville, NS B4P 1E2</t>
  </si>
  <si>
    <t xml:space="preserve">11:30 AM – 11:00 PM</t>
  </si>
  <si>
    <t xml:space="preserve">Tattingstone Inn</t>
  </si>
  <si>
    <t xml:space="preserve">620 Main St, Wolfville, NS B4P 1E8</t>
  </si>
  <si>
    <t xml:space="preserve">Staffkin: "I saw you're hiring a hotel manager. Staffkin does the job ad, interview questions and reference checks. First job is free."</t>
  </si>
  <si>
    <t xml:space="preserve">Hiring: Hotel manager.</t>
  </si>
  <si>
    <t xml:space="preserve">Sherri &amp; Carrie - Annapolis Valley Real Estate Team</t>
  </si>
  <si>
    <t xml:space="preserve">360 Main St Unit 23, Wolfville, NS B4P 1C7</t>
  </si>
  <si>
    <t xml:space="preserve">Mon–Fri Open 24 hours, Sat Open 24 hours, Sun Open 24 hours</t>
  </si>
  <si>
    <t xml:space="preserve">Hand key cards to an agent (cards C37, flyer L37)</t>
  </si>
  <si>
    <t xml:space="preserve">Studio 14 Gifts &amp; Gallery</t>
  </si>
  <si>
    <t xml:space="preserve">10032 Nova Scotia Trunk 1, Wolfville, NS B4P 2R2</t>
  </si>
  <si>
    <t xml:space="preserve">Mon Closed, Tue 10am–5pm, Wed 10am–5pm, Thu 10am–5pm, Fri 10am–5pm, Sat 10am–5pm, Sun 12–5pm</t>
  </si>
  <si>
    <t xml:space="preserve">Key cards at the till (cards C38, flyer L38)</t>
  </si>
  <si>
    <t xml:space="preserve">Keegix: Tourist shop near Wolfville</t>
  </si>
  <si>
    <t xml:space="preserve">Elderkin's Farm Market, Bakery, &amp; U-Pick</t>
  </si>
  <si>
    <t xml:space="preserve">10362 Nova Scotia Trunk 1, Wolfville, NS B4P 2R2</t>
  </si>
  <si>
    <t xml:space="preserve">Mon–Fri 8am–6pm, Sat 8am–6pm, Sun 9am–6pm</t>
  </si>
  <si>
    <t xml:space="preserve">Key cards at the till (cards C27, flyer L27)</t>
  </si>
  <si>
    <t xml:space="preserve">Staffkin: Ask for the owner or manager. "If you're ever hiring, this does the ad, interviews and reference checks. First job is free." Best time: 2–4 pm, never lunch rush.
Keegix: Hwy 1 farm market</t>
  </si>
  <si>
    <t xml:space="preserve">Seasonal staff every year.</t>
  </si>
  <si>
    <t xml:space="preserve">Grand Pré</t>
  </si>
  <si>
    <t xml:space="preserve">Domaine de Grand Pré</t>
  </si>
  <si>
    <t xml:space="preserve">11611 Evangeline Trl, Grand Pré, NS B0P 1M0</t>
  </si>
  <si>
    <t xml:space="preserve">Staffkin: Ask for the manager; seasonal hiring is a good angle. Best time: Weekday afternoon.</t>
  </si>
  <si>
    <t xml:space="preserve">Le Caveau restaurant is at the same address.</t>
  </si>
  <si>
    <t xml:space="preserve">Luckett Vineyards</t>
  </si>
  <si>
    <t xml:space="preserve">1293 Grand Pré Rd, Wallbrook, NS B4P 2R3</t>
  </si>
  <si>
    <t xml:space="preserve">Hours not listed; often seasonal, check first.</t>
  </si>
  <si>
    <t xml:space="preserve">Hortonville</t>
  </si>
  <si>
    <t xml:space="preserve">Just Us! Grand Pré Café &amp; Roastery</t>
  </si>
  <si>
    <t xml:space="preserve">11865 Nova Scotia Trunk 1, Hortonville, NS B4P 2R3</t>
  </si>
  <si>
    <t xml:space="preserve">Mon–Fri 8am–5pm, Sat 8am–5pm, Sun 8am–5pm</t>
  </si>
  <si>
    <t xml:space="preserve">Key cards + flyer/tent (cards C39, flyer L39)</t>
  </si>
  <si>
    <t xml:space="preserve">Keegix: Grand Pré wine-country traffic</t>
  </si>
  <si>
    <t xml:space="preserve">3</t>
  </si>
  <si>
    <t xml:space="preserve">Paddy's Irish Brewpub &amp; Rosie's Restaurant</t>
  </si>
  <si>
    <t xml:space="preserve">42 Aberdeen St, Kentville, NS B4N 2N1</t>
  </si>
  <si>
    <t xml:space="preserve">8:00 AM – 10:00 PM</t>
  </si>
  <si>
    <t xml:space="preserve">TJ's Convenience Store Ltd.</t>
  </si>
  <si>
    <t xml:space="preserve">466 Aldershot Rd, Kentville, NS B4N 3A4</t>
  </si>
  <si>
    <t xml:space="preserve">Staffkin: "I saw you're hiring a cashier. Staffkin does the job ad, interview questions and reference checks. First job is free."</t>
  </si>
  <si>
    <t xml:space="preserve">Hiring: Cashier.</t>
  </si>
  <si>
    <t xml:space="preserve">NSCC Kingstec Campus</t>
  </si>
  <si>
    <t xml:space="preserve">236 Belcher St, Kentville, NS</t>
  </si>
  <si>
    <t xml:space="preserve">Mon–Sat</t>
  </si>
  <si>
    <t xml:space="preserve">Waypoint/Apps: Student boards. Ask student services for an approval stamp.</t>
  </si>
  <si>
    <t xml:space="preserve">Maytag Coin Laundry</t>
  </si>
  <si>
    <t xml:space="preserve">252 Main St, Kentville, NS B4N 2A6</t>
  </si>
  <si>
    <t xml:space="preserve">Mon–Fri 9am–9pm, Sat 9am–9pm, Sun 9am–9pm</t>
  </si>
  <si>
    <t xml:space="preserve">Flyer on the board (cards C19, flyer L19)</t>
  </si>
  <si>
    <t xml:space="preserve">Waypoint/Apps: Ask at the Needs store next door.
Keegix: Small hosts wash linens here</t>
  </si>
  <si>
    <t xml:space="preserve">Maritime Express Cider Co.</t>
  </si>
  <si>
    <t xml:space="preserve">325 Main St, Kentville, NS B4N 1K5</t>
  </si>
  <si>
    <t xml:space="preserve">11:00 AM – 9:00 PM</t>
  </si>
  <si>
    <t xml:space="preserve">Staffkin: Ask for the owner or manager. "If you're ever hiring, this does the ad, interviews and reference checks. First job is free." Best time: 2–4 pm, never lunch rush.
Staffkin: "I saw you're hiring a server. Staffkin does the job ad, interview questions and reference checks. First job is free."</t>
  </si>
  <si>
    <t xml:space="preserve">Hiring: Server; line cook. No date on the posting; may be older.</t>
  </si>
  <si>
    <t xml:space="preserve">Kings Arms Pub</t>
  </si>
  <si>
    <t xml:space="preserve">390 Main St, Kentville, NS B4N 1K8</t>
  </si>
  <si>
    <t xml:space="preserve">Half Acre Cafe</t>
  </si>
  <si>
    <t xml:space="preserve">395 Main St, Kentville, NS B4N 2E2</t>
  </si>
  <si>
    <t xml:space="preserve">Mon–Fri 8am–4pm, Sat 8am–4pm, Sun 9am–3pm</t>
  </si>
  <si>
    <t xml:space="preserve">Key cards at the till (cards C15, flyer L15)</t>
  </si>
  <si>
    <t xml:space="preserve">Waypoint/Apps: Ask at the counter.
Staffkin: Ask for the owner or manager. "If you're ever hiring, this does the ad, interviews and reference checks. First job is free." Best time: 2–4 pm, never lunch rush.
Keegix: Kentville Main St</t>
  </si>
  <si>
    <t xml:space="preserve">Rockwell Home Hardware</t>
  </si>
  <si>
    <t xml:space="preserve">414 Main St, Kentville, NS B4N 3W4</t>
  </si>
  <si>
    <t xml:space="preserve">Mon–Fri 8am–6pm, Sat 8am–5pm, Sun 10am–5pm</t>
  </si>
  <si>
    <t xml:space="preserve">W S K</t>
  </si>
  <si>
    <t xml:space="preserve">Key cards at the till (ask) (cards C18, flyer L18)</t>
  </si>
  <si>
    <t xml:space="preserve">Waypoint/Apps: Trades buy here. Ask about a board by the door or cards at the till.
Staffkin: Ask if you can leave a few cards at the contractor desk. Best time: Mid-morning, after the 7–9 am contractor rush.
Keegix: Kentville Main St</t>
  </si>
  <si>
    <t xml:space="preserve">T.A.N. Coffee Kentville</t>
  </si>
  <si>
    <t xml:space="preserve">431 Main St, Kentville, NS B4N 1K7</t>
  </si>
  <si>
    <t xml:space="preserve">Mon–Fri 7am–6pm, Sat 8am–6pm, Sun 8am–6pm</t>
  </si>
  <si>
    <t xml:space="preserve">Key cards + flyer/tent (cards C14, flyer L14)</t>
  </si>
  <si>
    <t xml:space="preserve">TACOcentric</t>
  </si>
  <si>
    <t xml:space="preserve">437 Main St, Kentville, NS B4N 1K9</t>
  </si>
  <si>
    <t xml:space="preserve">Kentville Library</t>
  </si>
  <si>
    <t xml:space="preserve">440 Main St, Kentville, NS B4N 1R5</t>
  </si>
  <si>
    <t xml:space="preserve">Flyer on the community board (cards C16, flyer L16)</t>
  </si>
  <si>
    <t xml:space="preserve">Waypoint/Apps: Community board inside. Ask staff to approve and date-stamp.
Staffkin: Ask the desk before pinning it up. Best time: Opening hours.
Keegix: Free community board</t>
  </si>
  <si>
    <t xml:space="preserve">Fraser's Pro Home Centre</t>
  </si>
  <si>
    <t xml:space="preserve">14 Pelton Dr, Kentville, NS B4N 3V7</t>
  </si>
  <si>
    <t xml:space="preserve">Mon–Fri 7:30am–5:30pm, Sat 8am–1pm, Sun Closed</t>
  </si>
  <si>
    <t xml:space="preserve">Key cards at the pro desk (ask) (cards C20, flyer L20)</t>
  </si>
  <si>
    <t xml:space="preserve">Waypoint/Apps: Contractor desk. Ask to leave cards at the counter.
Staffkin: Ask if you can leave a few cards at the contractor desk. Best time: Mid-morning, after the 7–9 am contractor rush.
Keegix: Contractors who work on rentals</t>
  </si>
  <si>
    <t xml:space="preserve">Royal Canadian Legion Branch 6</t>
  </si>
  <si>
    <t xml:space="preserve">37 River St, Kentville, NS</t>
  </si>
  <si>
    <t xml:space="preserve">Thu–Sun</t>
  </si>
  <si>
    <t xml:space="preserve">Waypoint/Apps: Hall board. Ask the bar or front volunteer.</t>
  </si>
  <si>
    <t xml:space="preserve">Victor cuts barber shop</t>
  </si>
  <si>
    <t xml:space="preserve">17 River St #21, Kentville, NS B4N 5E3</t>
  </si>
  <si>
    <t xml:space="preserve">9:00 AM – 6:00 PM</t>
  </si>
  <si>
    <t xml:space="preserve">Staffkin: Leave a card for the owner. Best time: Weekday, between clients.</t>
  </si>
  <si>
    <t xml:space="preserve">Wheelhouse Coffee Co.</t>
  </si>
  <si>
    <t xml:space="preserve">2 Webster St, Kentville, NS B4N 1H7</t>
  </si>
  <si>
    <t xml:space="preserve">Mon–Fri 8am–4pm, Sat 9am–3pm, Sun Closed</t>
  </si>
  <si>
    <t xml:space="preserve">Key cards + flyer/tent (cards C13, flyer L13)</t>
  </si>
  <si>
    <t xml:space="preserve">Waypoint/Apps: Ask at the counter.
Staffkin: Ask for the owner or manager. "If you're ever hiring, this does the ad, interviews and reference checks. First job is free." Best time: 2–4 pm, never lunch rush.
Keegix: Kentville, local crowd</t>
  </si>
  <si>
    <t xml:space="preserve">Kentville Barber Shop</t>
  </si>
  <si>
    <t xml:space="preserve">106 Webster St, Kentville, NS B4N 1H9</t>
  </si>
  <si>
    <t xml:space="preserve">Carquest Auto Parts</t>
  </si>
  <si>
    <t xml:space="preserve">108 Coldbrook Village Park Dr, Coldbrook, NS</t>
  </si>
  <si>
    <t xml:space="preserve">Waypoint/Apps: Mechanics and fleet owners. Cards at the counter.</t>
  </si>
  <si>
    <t xml:space="preserve">Callister's Country Kitchen</t>
  </si>
  <si>
    <t xml:space="preserve">7076 Evangeline Trl, Coldbrook, NS B4R 1C1</t>
  </si>
  <si>
    <t xml:space="preserve">7:00 AM – 9:00 PM</t>
  </si>
  <si>
    <t xml:space="preserve">Scotian Gold Country Store</t>
  </si>
  <si>
    <t xml:space="preserve">7027 Hwy 1, Coldbrook, NS</t>
  </si>
  <si>
    <t xml:space="preserve">Waypoint/Apps: Farmers and landscapers shop here. Ask about the community board.</t>
  </si>
  <si>
    <t xml:space="preserve">Scott's Fish &amp; Chips</t>
  </si>
  <si>
    <t xml:space="preserve">7165 Nova Scotia Trunk 1, Coldbrook, NS B4R 1A2</t>
  </si>
  <si>
    <t xml:space="preserve">11:00 AM – 7:00 PM</t>
  </si>
  <si>
    <t xml:space="preserve">Kai-Wing Restaurant Ltd</t>
  </si>
  <si>
    <t xml:space="preserve">7299 Nova Scotia Trunk 1, Coldbrook, NS B4R 1B9</t>
  </si>
  <si>
    <t xml:space="preserve">4</t>
  </si>
  <si>
    <t xml:space="preserve">NAPA Auto Parts</t>
  </si>
  <si>
    <t xml:space="preserve">8793 Commercial St, New Minas, NS</t>
  </si>
  <si>
    <t xml:space="preserve">Waypoint/Apps: Trade counter. Cards at the till.</t>
  </si>
  <si>
    <t xml:space="preserve">Holland Home Leisure</t>
  </si>
  <si>
    <t xml:space="preserve">8794 Commercial St, New Minas, NS B4N 3C5</t>
  </si>
  <si>
    <t xml:space="preserve">Staffkin: "I saw you're hiring a retail floor manager. Staffkin does the job ad, interview questions and reference checks. First job is free."</t>
  </si>
  <si>
    <t xml:space="preserve">Hiring: Retail floor manager.</t>
  </si>
  <si>
    <t xml:space="preserve">Nothin' Fancy Furniture Warehouse</t>
  </si>
  <si>
    <t xml:space="preserve">8830 Commercial St, New Minas, NS B4N 3C6</t>
  </si>
  <si>
    <t xml:space="preserve">Mon 9am–5pm, Tue 9am–5pm, Wed 9am–5pm, Thu 9am–7pm, Fri 9am–7pm, Sat 9am–5pm, Sun 12–5pm</t>
  </si>
  <si>
    <t xml:space="preserve">Key cards at the till (ask) (cards C22, flyer L22)</t>
  </si>
  <si>
    <t xml:space="preserve">Keegix: People furnishing a new rental</t>
  </si>
  <si>
    <t xml:space="preserve">Chrismaria Family Restaurant ( Indian Restaurant)</t>
  </si>
  <si>
    <t xml:space="preserve">8934 Commercial St, New Minas, NS B4N 3C9</t>
  </si>
  <si>
    <t xml:space="preserve">12:00 – 8:00 PM</t>
  </si>
  <si>
    <t xml:space="preserve">Old Money Hair &amp; Co</t>
  </si>
  <si>
    <t xml:space="preserve">8943 Commercial St, New Minas, NS B4N 3E1</t>
  </si>
  <si>
    <t xml:space="preserve">BARIIS HALAL &amp; PIZZA HOUSE</t>
  </si>
  <si>
    <t xml:space="preserve">9005 Commercial St, New Minas, NS B4N 3E2</t>
  </si>
  <si>
    <t xml:space="preserve">8:00 AM – 11:30 PM</t>
  </si>
  <si>
    <t xml:space="preserve">Running Man Grocery Mart</t>
  </si>
  <si>
    <t xml:space="preserve">9036 Commercial St, New Minas, NS</t>
  </si>
  <si>
    <t xml:space="preserve">Waypoint/Apps: Restaurant and shop owners stock up here. Ask at the counter.</t>
  </si>
  <si>
    <t xml:space="preserve">Hampton House Furniture</t>
  </si>
  <si>
    <t xml:space="preserve">9039 Commercial St, New Minas, NS B4N 3E6</t>
  </si>
  <si>
    <t xml:space="preserve">Mon 10am–5pm, Tue 10am–5pm, Wed 10am–5pm, Thu 10am–5pm, Fri 10am–7pm, Sat 10am–5pm, Sun Closed</t>
  </si>
  <si>
    <t xml:space="preserve">Key cards at the till (ask) (cards C23, flyer L23)</t>
  </si>
  <si>
    <t xml:space="preserve">The UPS Store</t>
  </si>
  <si>
    <t xml:space="preserve">9049 Commercial St, New Minas, NS</t>
  </si>
  <si>
    <t xml:space="preserve">Waypoint/Apps: Online sellers and small shops ship here. Ask to leave cards.
Staffkin: Ask if they have a community or business board. Best time: Opening hours.</t>
  </si>
  <si>
    <t xml:space="preserve">Franchise: ask for the local owner.</t>
  </si>
  <si>
    <t xml:space="preserve">Atlantic Superstore</t>
  </si>
  <si>
    <t xml:space="preserve">9064 Commercial St, New Minas, NS</t>
  </si>
  <si>
    <t xml:space="preserve">Daily 7–10</t>
  </si>
  <si>
    <t xml:space="preserve">Waypoint/Apps: Community board near the entrance. Ask customer service.</t>
  </si>
  <si>
    <t xml:space="preserve">Staples + Staples Print</t>
  </si>
  <si>
    <t xml:space="preserve">9081 Commercial St, New Minas, NS</t>
  </si>
  <si>
    <t xml:space="preserve">Waypoint/Apps: Ask at the print desk about leaving cards.</t>
  </si>
  <si>
    <t xml:space="preserve">Walmart Supercentre</t>
  </si>
  <si>
    <t xml:space="preserve">9097 Commercial St, New Minas, NS</t>
  </si>
  <si>
    <t xml:space="preserve">Waypoint/Apps: Ask customer service whether there's a community board.</t>
  </si>
  <si>
    <t xml:space="preserve">Sobeys New Minas</t>
  </si>
  <si>
    <t xml:space="preserve">9256 Commercial St, New Minas, NS</t>
  </si>
  <si>
    <t xml:space="preserve">Waypoint/Apps: Community board by the doors. Ask customer service.</t>
  </si>
  <si>
    <t xml:space="preserve">M&amp;M Food Market</t>
  </si>
  <si>
    <t xml:space="preserve">Waypoint/Apps: Ask at the counter.</t>
  </si>
  <si>
    <t xml:space="preserve">St. Louis Bar &amp; Grill</t>
  </si>
  <si>
    <t xml:space="preserve">9049 Commercial St Unit 6-7A, New Minas, NS B4N 5A4</t>
  </si>
  <si>
    <t xml:space="preserve">11:00 AM – 1:00 AM</t>
  </si>
  <si>
    <t xml:space="preserve">The Valley Barber</t>
  </si>
  <si>
    <t xml:space="preserve">11A Crescent Dr, New Minas, NS B4N 3G7</t>
  </si>
  <si>
    <t xml:space="preserve">Sushi Fang</t>
  </si>
  <si>
    <t xml:space="preserve">7 Kentucky Ct, New Minas, NS B4N 4N1</t>
  </si>
  <si>
    <t xml:space="preserve">Kent Building Supplies</t>
  </si>
  <si>
    <t xml:space="preserve">5447 Prospect Rd, New Minas, NS B4N 3L1</t>
  </si>
  <si>
    <t xml:space="preserve">Mon–Fri 7am–9pm, Sat 7am–7pm, Sun 10am–5pm</t>
  </si>
  <si>
    <t xml:space="preserve">Key cards at the till (ask) (cards C21, flyer L21)</t>
  </si>
  <si>
    <t xml:space="preserve">Waypoint/Apps: Contractor desk. Ask about the board and cards.
Staffkin: Ask if you can leave a few cards at the contractor desk. Best time: Mid-morning, after the 7–9 am contractor rush.
Keegix: Biggest building store in the Valley</t>
  </si>
  <si>
    <t xml:space="preserve">Your former employer: your call for Staffkin.</t>
  </si>
  <si>
    <t xml:space="preserve">Irving Big Stop (New Minas)</t>
  </si>
  <si>
    <t xml:space="preserve">5477 Prospect Rd, New Minas, NS B4N 3K9</t>
  </si>
  <si>
    <t xml:space="preserve">24 hours (restaurant 8–8)</t>
  </si>
  <si>
    <t xml:space="preserve">flyer B "Still doing it by hand?" on board</t>
  </si>
  <si>
    <t xml:space="preserve">Waypoint/Apps: Truckers and contractors eat breakfast here. Ask about a board near the restaurant.</t>
  </si>
  <si>
    <t xml:space="preserve">Bumper to Bumper Auto Parts</t>
  </si>
  <si>
    <t xml:space="preserve">5494 Prospect Rd, New Minas, NS</t>
  </si>
  <si>
    <t xml:space="preserve">Waypoint/Apps: Cards at the counter.</t>
  </si>
  <si>
    <t xml:space="preserve">Slumber Inn</t>
  </si>
  <si>
    <t xml:space="preserve">5534 Prospect Rd, New Minas, NS</t>
  </si>
  <si>
    <t xml:space="preserve">Staffkin: "I saw you're hiring a housekeeper. Staffkin does the job ad, interview questions and reference checks. First job is free."</t>
  </si>
  <si>
    <t xml:space="preserve">Hiring: Housekeeper.</t>
  </si>
  <si>
    <t xml:space="preserve">Cumin Kitchen and Drink</t>
  </si>
  <si>
    <t xml:space="preserve">21 Roy Ave, New Minas, NS B4N 3R7</t>
  </si>
  <si>
    <t xml:space="preserve">7:30 AM – 7:00 PM</t>
  </si>
  <si>
    <t xml:space="preserve">Staffkin: Ask for the owner or manager. "If you're ever hiring, this does the ad, interviews and reference checks. First job is free." Best time: 2–4 pm, never lunch rush.
Staffkin: "I saw you're hiring an assistant cook. Staffkin does the job ad, interview questions and reference checks. First job is free."</t>
  </si>
  <si>
    <t xml:space="preserve">Hiring: Assistant cook; server.</t>
  </si>
  <si>
    <t xml:space="preserve">The Home Depot</t>
  </si>
  <si>
    <t xml:space="preserve">21 Silver Fox Ave, New Minas, NS</t>
  </si>
  <si>
    <t xml:space="preserve">Waypoint/Apps: Pro desk. Ask whether they allow cards.</t>
  </si>
  <si>
    <t xml:space="preserve">5</t>
  </si>
  <si>
    <t xml:space="preserve">Annapolis Royal</t>
  </si>
  <si>
    <t xml:space="preserve">Annapolis Home Hardware Building Centre</t>
  </si>
  <si>
    <t xml:space="preserve">132 St Anthony St, Annapolis Royal, NS B0S 1A0</t>
  </si>
  <si>
    <t xml:space="preserve">Mon–Fri 7:30am–5:30pm, Sat 8am–5pm, Sun 10am–3pm</t>
  </si>
  <si>
    <t xml:space="preserve">Key cards at the till (ask) (cards C05, flyer L05)</t>
  </si>
  <si>
    <t xml:space="preserve">Keegix: Owners fixing up rentals shop here</t>
  </si>
  <si>
    <t xml:space="preserve">ARCH &amp; PO</t>
  </si>
  <si>
    <t xml:space="preserve">200 St George St, Annapolis Royal, NS B0S 1A0</t>
  </si>
  <si>
    <t xml:space="preserve">Mon Closed, Tue Closed, Wed 9am–2pm, Thu 9am–2pm, Fri 9am–2pm, Sat 9am–2pm, Sun Closed</t>
  </si>
  <si>
    <t xml:space="preserve">Key cards at the till (cards C03, flyer L03)</t>
  </si>
  <si>
    <t xml:space="preserve">Keegix: Busy bakery on St George St</t>
  </si>
  <si>
    <t xml:space="preserve">Lazy Daisy Café</t>
  </si>
  <si>
    <t xml:space="preserve">220 St George St, Annapolis Royal, NS B0S 1A0</t>
  </si>
  <si>
    <t xml:space="preserve">Mon Closed, Tue 9am–3pm, Wed 9am–3pm, Thu 9am–3pm, Fri 9am–3pm, Sat 9am–3pm, Sun Closed</t>
  </si>
  <si>
    <t xml:space="preserve">Key cards at the till + flyer/tent (cards C02, flyer L02)</t>
  </si>
  <si>
    <t xml:space="preserve">Keegix: Main street café in a heavy B&amp;B town</t>
  </si>
  <si>
    <t xml:space="preserve">Fort Anne Cafe</t>
  </si>
  <si>
    <t xml:space="preserve">298 St George St, Annapolis Royal, NS B0S 0B3</t>
  </si>
  <si>
    <t xml:space="preserve">Mon 11am–7pm, Tue 11am–7pm, Wed 11am–7pm, Thu 11am–7pm, Fri 11am–8pm, Sat 11am–7pm, Sun 12–6pm</t>
  </si>
  <si>
    <t xml:space="preserve">Key cards + flyer if there's a board (cards C04, flyer L04)</t>
  </si>
  <si>
    <t xml:space="preserve">Keegix: Diner next to Fort Anne, tourist traffic</t>
  </si>
  <si>
    <t xml:space="preserve">Annapolis Royal Visitor Information Centre</t>
  </si>
  <si>
    <t xml:space="preserve">441 St George St, Annapolis Royal, NS B0S 0A8</t>
  </si>
  <si>
    <t xml:space="preserve">Mon–Fri 9am–5pm, Sat 9am–5pm, Sun 9am–5pm</t>
  </si>
  <si>
    <t xml:space="preserve">Key cards in the rack + flyer (cards C01, flyer L01)</t>
  </si>
  <si>
    <t xml:space="preserve">Keegix: Tourists and new owners ask here; staff know every B&amp;B</t>
  </si>
  <si>
    <t xml:space="preserve">Kingston</t>
  </si>
  <si>
    <t xml:space="preserve">Green Elephant Café</t>
  </si>
  <si>
    <t xml:space="preserve">687 Main St, Kingston, NS B0P 0A1</t>
  </si>
  <si>
    <t xml:space="preserve">Mon 7am–4pm, Tue 7am–4pm, Wed 7am–4pm, Thu 7am–4pm, Fri 7am–7pm, Sat 7am–4pm, Sun 8am–4pm</t>
  </si>
  <si>
    <t xml:space="preserve">Key cards + flyer/tent (cards C07, flyer L07)</t>
  </si>
  <si>
    <t xml:space="preserve">Keegix: Very busy (870+ reviews), Kingston</t>
  </si>
  <si>
    <t xml:space="preserve">Aylesford</t>
  </si>
  <si>
    <t xml:space="preserve">Dempsey Corner Orchards</t>
  </si>
  <si>
    <t xml:space="preserve">2717 NS-221, Aylesford, NS</t>
  </si>
  <si>
    <t xml:space="preserve">Waypoint/Apps: Ask about the board.</t>
  </si>
  <si>
    <t xml:space="preserve">Berwick</t>
  </si>
  <si>
    <t xml:space="preserve">Berwick Home Hardware Building Centre</t>
  </si>
  <si>
    <t xml:space="preserve">155 Commercial St, Berwick, NS B0P 0A5</t>
  </si>
  <si>
    <t xml:space="preserve">Key cards at the till (ask) (cards C10, flyer L10)</t>
  </si>
  <si>
    <t xml:space="preserve">Keegix: Owners fixing up rentals</t>
  </si>
  <si>
    <t xml:space="preserve">North Mountain Fine Coffees</t>
  </si>
  <si>
    <t xml:space="preserve">210 Commercial St, Berwick, NS B0P 1E0</t>
  </si>
  <si>
    <t xml:space="preserve">Mon–Fri 8am–4pm, Sat 9am–4pm, Sun Closed</t>
  </si>
  <si>
    <t xml:space="preserve">Key cards + flyer/tent (cards C08, flyer L08)</t>
  </si>
  <si>
    <t xml:space="preserve">Keegix: Berwick's main coffee spot</t>
  </si>
  <si>
    <t xml:space="preserve">Foodland Berwick</t>
  </si>
  <si>
    <t xml:space="preserve">223 Commercial St, Berwick, NS</t>
  </si>
  <si>
    <t xml:space="preserve">Waypoint/Apps: Board near the entrance.</t>
  </si>
  <si>
    <t xml:space="preserve">Feeds'n Needs</t>
  </si>
  <si>
    <t xml:space="preserve">229 Commercial St, Berwick, NS</t>
  </si>
  <si>
    <t xml:space="preserve">Waypoint/Apps: Farm and pet businesses. Ask at the counter.</t>
  </si>
  <si>
    <t xml:space="preserve">Berwick and District Library</t>
  </si>
  <si>
    <t xml:space="preserve">236 Commercial St, Berwick, NS B0P 1E0</t>
  </si>
  <si>
    <t xml:space="preserve">Flyer on the community board (cards C11, flyer L11)</t>
  </si>
  <si>
    <t xml:space="preserve">Waypoint/Apps: Community board. Ask staff.
Keegix: Free community board</t>
  </si>
  <si>
    <t xml:space="preserve">Wheaton's Cider Press Cafe</t>
  </si>
  <si>
    <t xml:space="preserve">301 Commercial St, Berwick, NS B0P 1E0</t>
  </si>
  <si>
    <t xml:space="preserve">Mon–Fri 9am–3pm, Sat 9am–3pm, Sun Closed</t>
  </si>
  <si>
    <t xml:space="preserve">Key cards at the till (cards C09, flyer L09)</t>
  </si>
  <si>
    <t xml:space="preserve">Keegix: Berwick</t>
  </si>
  <si>
    <t xml:space="preserve">Cambridge</t>
  </si>
  <si>
    <t xml:space="preserve">Cambridge Construction Rentals</t>
  </si>
  <si>
    <t xml:space="preserve">5660 Evangeline Trl, Cambridge, NS B0P 1G0</t>
  </si>
  <si>
    <t xml:space="preserve">Mon–Fri 7–5</t>
  </si>
  <si>
    <t xml:space="preserve">Weekdays only: skip on the Saturday run or go on a day off.</t>
  </si>
  <si>
    <t xml:space="preserve">Cambridge Community Centre</t>
  </si>
  <si>
    <t xml:space="preserve">5961 Hwy 1, Cambridge, NS</t>
  </si>
  <si>
    <t xml:space="preserve">Varies</t>
  </si>
  <si>
    <t xml:space="preserve">Waypoint/Apps: Hall board.</t>
  </si>
  <si>
    <t xml:space="preserve">Sourdough Country Bakery and Windmill Cafe</t>
  </si>
  <si>
    <t xml:space="preserve">5673 Nova Scotia Trunk 1, Cambridge, NS B0P 1G0</t>
  </si>
  <si>
    <t xml:space="preserve">Mon–Fri 5:30am–4pm, Sat 5:30am–4pm, Sun Closed</t>
  </si>
  <si>
    <t xml:space="preserve">Key cards at the till (cards C12, flyer L12)</t>
  </si>
  <si>
    <t xml:space="preserve">Keegix: Hwy 1 stop in Cambridge</t>
  </si>
  <si>
    <t xml:space="preserve">Woodville</t>
  </si>
  <si>
    <t xml:space="preserve">Woodville Community Centre</t>
  </si>
  <si>
    <t xml:space="preserve">342 Bligh Rd, Woodville, NS</t>
  </si>
  <si>
    <t xml:space="preserve">Centreville</t>
  </si>
  <si>
    <t xml:space="preserve">Baked Inn Homemade</t>
  </si>
  <si>
    <t xml:space="preserve">940 Parkview Dr, Centreville, NS B0P 1J0</t>
  </si>
  <si>
    <t xml:space="preserve">Mon–Fri 10am–2pm, Sat 9am–5pm, Sun 9am–5pm</t>
  </si>
  <si>
    <t xml:space="preserve">Key cards at the till (cards C26, flyer L26)</t>
  </si>
  <si>
    <t xml:space="preserve">Keegix: Centreville, on the way to Hall's Harbour</t>
  </si>
  <si>
    <t xml:space="preserve">Canning</t>
  </si>
  <si>
    <t xml:space="preserve">Maple Leaf Home Hardware</t>
  </si>
  <si>
    <t xml:space="preserve">9767 Main St, Canning, NS</t>
  </si>
  <si>
    <t xml:space="preserve">Waypoint/Apps: Ask about a board or the till.</t>
  </si>
  <si>
    <t xml:space="preserve">The Village Coffeehouse</t>
  </si>
  <si>
    <t xml:space="preserve">9844 Main St, Canning, NS B0P 1H0</t>
  </si>
  <si>
    <t xml:space="preserve">Mon–Fri 7:30am–3pm, Sat 8am–3pm, Sun Closed</t>
  </si>
  <si>
    <t xml:space="preserve">Key cards + flyer/tent (cards C24, flyer L24)</t>
  </si>
  <si>
    <t xml:space="preserve">Waypoint/Apps: Local gathering spot. Ask at the counter.
Keegix: Canning, near Blomidon rentals</t>
  </si>
  <si>
    <t xml:space="preserve">Art Can Kitchen and Studios</t>
  </si>
  <si>
    <t xml:space="preserve">9850 Main St, Canning, NS B0P 1H0</t>
  </si>
  <si>
    <t xml:space="preserve">Mon Closed, Tue 10am–5pm, Wed 10am–5pm, Thu 10am–5pm, Fri 10am–5pm, Sat 10am–5pm, Sun Closed</t>
  </si>
  <si>
    <t xml:space="preserve">Flyer + key cards (cards C25, flyer L25)</t>
  </si>
  <si>
    <t xml:space="preserve">Keegix: Canning community hub</t>
  </si>
  <si>
    <t xml:space="preserve">5b</t>
  </si>
  <si>
    <t xml:space="preserve">Hantsport</t>
  </si>
  <si>
    <t xml:space="preserve">The Border Diner &amp; Grill</t>
  </si>
  <si>
    <t xml:space="preserve">13991 Nova Scotia Trunk 1, Hantsport, NS B0P 1P0</t>
  </si>
  <si>
    <t xml:space="preserve">Mon–Fri 11am–8pm, Sat 10am–8pm, Sun 10am–8pm</t>
  </si>
  <si>
    <t xml:space="preserve">Key cards + flyer if there's a board (cards C40, flyer L40)</t>
  </si>
  <si>
    <t xml:space="preserve">Keegix: Hantsport</t>
  </si>
  <si>
    <t xml:space="preserve">Windsor</t>
  </si>
  <si>
    <t xml:space="preserve">Windsor Regional Library</t>
  </si>
  <si>
    <t xml:space="preserve">195 Albert St, Windsor, NS</t>
  </si>
  <si>
    <t xml:space="preserve">Waypoint/Apps: Community board. Ask staff.</t>
  </si>
  <si>
    <t xml:space="preserve">Gerrish &amp; Gray Cafe</t>
  </si>
  <si>
    <t xml:space="preserve">134 Gerrish St, Windsor, NS B0N 2T0</t>
  </si>
  <si>
    <t xml:space="preserve">Mon–Fri 7am–5pm, Sat 7am–5pm, Sun 7am–5pm</t>
  </si>
  <si>
    <t xml:space="preserve">Key cards + flyer/tent (cards C41, flyer L41)</t>
  </si>
  <si>
    <t xml:space="preserve">Waypoint/Apps: Ask at the counter.
Keegix: Windsor</t>
  </si>
  <si>
    <t xml:space="preserve">6</t>
  </si>
  <si>
    <t xml:space="preserve">Middleton</t>
  </si>
  <si>
    <t xml:space="preserve">Rockin' Rogi Diner</t>
  </si>
  <si>
    <t xml:space="preserve">101 Commercial St, Middleton, NS B0S 1P0</t>
  </si>
  <si>
    <t xml:space="preserve">Mon Closed, Tue Closed, Wed 11am–7pm, Thu 11am–7pm, Fri 11am–7pm, Sat Closed, Sun Closed</t>
  </si>
  <si>
    <t xml:space="preserve">Key cards + flyer if there's a board (cards C06, flyer L06)</t>
  </si>
  <si>
    <t xml:space="preserve">Keegix: Middleton main street</t>
  </si>
  <si>
    <t xml:space="preserve">Kentville Farmers Market</t>
  </si>
  <si>
    <t xml:space="preserve">Centre Square, Kentville, NS B4N 1G9</t>
  </si>
  <si>
    <t xml:space="preserve">Mon Closed, Tue Closed, Wed 10am–1pm, Thu Closed, Fri Closed, Sat Closed, Sun Closed</t>
  </si>
  <si>
    <t xml:space="preserve">Key cards at the info table (ask) (cards C17, flyer L17)</t>
  </si>
  <si>
    <t xml:space="preserve">Waypoint/Apps: Wednesdays. Vendors are the perfect Apps user. Ask the market manager first, then chat to vendors.
Keegix: Locals who own property</t>
  </si>
  <si>
    <t xml:space="preserve">Falmouth</t>
  </si>
  <si>
    <t xml:space="preserve">Expedition Coffee Roasters</t>
  </si>
  <si>
    <t xml:space="preserve">1813 Hwy 1, Falmouth, NS</t>
  </si>
  <si>
    <t xml:space="preserve">Tue–Wed mornings</t>
  </si>
  <si>
    <t xml:space="preserve">Valley-wide</t>
  </si>
  <si>
    <t xml:space="preserve">Holiday craft fairs (Nov–Dec)</t>
  </si>
  <si>
    <t xml:space="preserve">Check novascotia.com holiday markets list + town Facebook pages</t>
  </si>
  <si>
    <t xml:space="preserve">Weekends Nov–Dec</t>
  </si>
  <si>
    <t xml:space="preserve">Waypoint/Apps: Best fit for Apps right now. Ask organisers if you can leave cards on the info table, or talk to vendors.</t>
  </si>
  <si>
    <t xml:space="preserve">Mail from home (no driving)</t>
  </si>
  <si>
    <t xml:space="preserve">Keegix: 30 window-envelope letters with numbered key cards (codes M01–M30). Staffkin: reference-check postcards (B) to businesses hiring with no street address posted. Fill the yellow column.</t>
  </si>
  <si>
    <t xml:space="preserve">Brand</t>
  </si>
  <si>
    <t xml:space="preserve">Code</t>
  </si>
  <si>
    <t xml:space="preserve">Type</t>
  </si>
  <si>
    <t xml:space="preserve">Address</t>
  </si>
  <si>
    <t xml:space="preserve">City</t>
  </si>
  <si>
    <t xml:space="preserve">Postcode</t>
  </si>
  <si>
    <t xml:space="preserve">Region</t>
  </si>
  <si>
    <t xml:space="preserve">What to send</t>
  </si>
  <si>
    <t xml:space="preserve">Mailed on</t>
  </si>
  <si>
    <t xml:space="preserve">Keegix</t>
  </si>
  <si>
    <t xml:space="preserve">M01</t>
  </si>
  <si>
    <t xml:space="preserve">Broadwater Inn &amp; Cottages</t>
  </si>
  <si>
    <t xml:space="preserve">inn</t>
  </si>
  <si>
    <t xml:space="preserve">975 NS-205</t>
  </si>
  <si>
    <t xml:space="preserve">Baddeck</t>
  </si>
  <si>
    <t xml:space="preserve">B0E 1B0</t>
  </si>
  <si>
    <t xml:space="preserve">Cape Breton</t>
  </si>
  <si>
    <t xml:space="preserve">Letter + key card M01 taped on, return label, stamp</t>
  </si>
  <si>
    <t xml:space="preserve">M02</t>
  </si>
  <si>
    <t xml:space="preserve">Chanterelle Inn &amp; Cottages</t>
  </si>
  <si>
    <t xml:space="preserve">48678 Cabot Trail</t>
  </si>
  <si>
    <t xml:space="preserve">Letter + key card M02 taped on, return label, stamp</t>
  </si>
  <si>
    <t xml:space="preserve">M03</t>
  </si>
  <si>
    <t xml:space="preserve">McIntyre's Cottages &amp; Cameron House</t>
  </si>
  <si>
    <t xml:space="preserve">cottages</t>
  </si>
  <si>
    <t xml:space="preserve">8908 NS-105</t>
  </si>
  <si>
    <t xml:space="preserve">Letter + key card M03 taped on, return label, stamp</t>
  </si>
  <si>
    <t xml:space="preserve">M04</t>
  </si>
  <si>
    <t xml:space="preserve">L'Auberge Doucet Inn</t>
  </si>
  <si>
    <t xml:space="preserve">14758 Cabot Trail</t>
  </si>
  <si>
    <t xml:space="preserve">Chéticamp</t>
  </si>
  <si>
    <t xml:space="preserve">B0E 1H0</t>
  </si>
  <si>
    <t xml:space="preserve">Letter + key card M04 taped on, return label, stamp</t>
  </si>
  <si>
    <t xml:space="preserve">M05</t>
  </si>
  <si>
    <t xml:space="preserve">Pilot Whale Chalets</t>
  </si>
  <si>
    <t xml:space="preserve">15775 Cabot Trail</t>
  </si>
  <si>
    <t xml:space="preserve">Letter + key card M05 taped on, return label, stamp</t>
  </si>
  <si>
    <t xml:space="preserve">M06</t>
  </si>
  <si>
    <t xml:space="preserve">Silver Lining Inn</t>
  </si>
  <si>
    <t xml:space="preserve">15356 Cabot Trail</t>
  </si>
  <si>
    <t xml:space="preserve">Letter + key card M06 taped on, return label, stamp</t>
  </si>
  <si>
    <t xml:space="preserve">M07</t>
  </si>
  <si>
    <t xml:space="preserve">Maple Ridge Cabins</t>
  </si>
  <si>
    <t xml:space="preserve">27340 Cabot Trail</t>
  </si>
  <si>
    <t xml:space="preserve">Dingwall</t>
  </si>
  <si>
    <t xml:space="preserve">B0C 1G0</t>
  </si>
  <si>
    <t xml:space="preserve">Letter + key card M07 taped on, return label, stamp</t>
  </si>
  <si>
    <t xml:space="preserve">M08</t>
  </si>
  <si>
    <t xml:space="preserve">Rocky Bay Cottages</t>
  </si>
  <si>
    <t xml:space="preserve">33 Miltons Ln</t>
  </si>
  <si>
    <t xml:space="preserve">Ingonish</t>
  </si>
  <si>
    <t xml:space="preserve">B0C 0A5</t>
  </si>
  <si>
    <t xml:space="preserve">Letter + key card M08 taped on, return label, stamp</t>
  </si>
  <si>
    <t xml:space="preserve">M09</t>
  </si>
  <si>
    <t xml:space="preserve">Seascape Coastal Retreat</t>
  </si>
  <si>
    <t xml:space="preserve">36086 Cabot Trail</t>
  </si>
  <si>
    <t xml:space="preserve">B0C 1K0</t>
  </si>
  <si>
    <t xml:space="preserve">Letter + key card M09 taped on, return label, stamp</t>
  </si>
  <si>
    <t xml:space="preserve">M10</t>
  </si>
  <si>
    <t xml:space="preserve">Power Brook Accommodations</t>
  </si>
  <si>
    <t xml:space="preserve">38397 Cabot Trail</t>
  </si>
  <si>
    <t xml:space="preserve">Ingonish Beach</t>
  </si>
  <si>
    <t xml:space="preserve">B0C 1L0</t>
  </si>
  <si>
    <t xml:space="preserve">Letter + key card M10 taped on, return label, stamp</t>
  </si>
  <si>
    <t xml:space="preserve">M11</t>
  </si>
  <si>
    <t xml:space="preserve">Skyline Cabins</t>
  </si>
  <si>
    <t xml:space="preserve">37759 Cabot Trail</t>
  </si>
  <si>
    <t xml:space="preserve">Letter + key card M11 taped on, return label, stamp</t>
  </si>
  <si>
    <t xml:space="preserve">M12</t>
  </si>
  <si>
    <t xml:space="preserve">The Island Inn</t>
  </si>
  <si>
    <t xml:space="preserve">B&amp;B</t>
  </si>
  <si>
    <t xml:space="preserve">37706 Cabot Trail</t>
  </si>
  <si>
    <t xml:space="preserve">Letter + key card M12 taped on, return label, stamp</t>
  </si>
  <si>
    <t xml:space="preserve">M13</t>
  </si>
  <si>
    <t xml:space="preserve">The Spruces Accommodations</t>
  </si>
  <si>
    <t xml:space="preserve">36056 Cabot Trail</t>
  </si>
  <si>
    <t xml:space="preserve">Letter + key card M13 taped on, return label, stamp</t>
  </si>
  <si>
    <t xml:space="preserve">M14</t>
  </si>
  <si>
    <t xml:space="preserve">Cranberry Cove Inn</t>
  </si>
  <si>
    <t xml:space="preserve">12 Wolfe St</t>
  </si>
  <si>
    <t xml:space="preserve">Louisbourg</t>
  </si>
  <si>
    <t xml:space="preserve">B1C 2J2</t>
  </si>
  <si>
    <t xml:space="preserve">Letter + key card M14 taped on, return label, stamp</t>
  </si>
  <si>
    <t xml:space="preserve">M15</t>
  </si>
  <si>
    <t xml:space="preserve">Mabou River Inn</t>
  </si>
  <si>
    <t xml:space="preserve">19 SW Ridge Rd</t>
  </si>
  <si>
    <t xml:space="preserve">Mabou</t>
  </si>
  <si>
    <t xml:space="preserve">B0E 1X0</t>
  </si>
  <si>
    <t xml:space="preserve">Letter + key card M15 taped on, return label, stamp</t>
  </si>
  <si>
    <t xml:space="preserve">M16</t>
  </si>
  <si>
    <t xml:space="preserve">The Glendyer B&amp;B</t>
  </si>
  <si>
    <t xml:space="preserve">356 Smithville Rd</t>
  </si>
  <si>
    <t xml:space="preserve">Letter + key card M16 taped on, return label, stamp</t>
  </si>
  <si>
    <t xml:space="preserve">M17</t>
  </si>
  <si>
    <t xml:space="preserve">Brown's Suites &amp; Cottages</t>
  </si>
  <si>
    <t xml:space="preserve">79 Browns Ln</t>
  </si>
  <si>
    <t xml:space="preserve">Margaree Centre</t>
  </si>
  <si>
    <t xml:space="preserve">B0E 1Z0</t>
  </si>
  <si>
    <t xml:space="preserve">Letter + key card M17 taped on, return label, stamp</t>
  </si>
  <si>
    <t xml:space="preserve">M18</t>
  </si>
  <si>
    <t xml:space="preserve">Cranton Cottages</t>
  </si>
  <si>
    <t xml:space="preserve">29 Cranton Crossroads</t>
  </si>
  <si>
    <t xml:space="preserve">Letter + key card M18 taped on, return label, stamp</t>
  </si>
  <si>
    <t xml:space="preserve">M19</t>
  </si>
  <si>
    <t xml:space="preserve">SeaSky Cottages</t>
  </si>
  <si>
    <t xml:space="preserve">2541 Shore Rd</t>
  </si>
  <si>
    <t xml:space="preserve">Margaree Harbour</t>
  </si>
  <si>
    <t xml:space="preserve">B0E 2B0</t>
  </si>
  <si>
    <t xml:space="preserve">Letter + key card M19 taped on, return label, stamp</t>
  </si>
  <si>
    <t xml:space="preserve">M20</t>
  </si>
  <si>
    <t xml:space="preserve">Dove House B&amp;B</t>
  </si>
  <si>
    <t xml:space="preserve">108 Queen St</t>
  </si>
  <si>
    <t xml:space="preserve">North Sydney</t>
  </si>
  <si>
    <t xml:space="preserve">B2A 1A6</t>
  </si>
  <si>
    <t xml:space="preserve">Letter + key card M20 taped on, return label, stamp</t>
  </si>
  <si>
    <t xml:space="preserve">M21</t>
  </si>
  <si>
    <t xml:space="preserve">The Poplar Suites &amp; Cottages</t>
  </si>
  <si>
    <t xml:space="preserve">23606 Cabot Trail</t>
  </si>
  <si>
    <t xml:space="preserve">Pleasant Bay</t>
  </si>
  <si>
    <t xml:space="preserve">B0E 2P0</t>
  </si>
  <si>
    <t xml:space="preserve">Letter + key card M21 taped on, return label, stamp</t>
  </si>
  <si>
    <t xml:space="preserve">M22</t>
  </si>
  <si>
    <t xml:space="preserve">Lighthouse Cottages</t>
  </si>
  <si>
    <t xml:space="preserve">8537 Route 19</t>
  </si>
  <si>
    <t xml:space="preserve">Port Hood</t>
  </si>
  <si>
    <t xml:space="preserve">B0E 2W0</t>
  </si>
  <si>
    <t xml:space="preserve">Letter + key card M22 taped on, return label, stamp</t>
  </si>
  <si>
    <t xml:space="preserve">M23</t>
  </si>
  <si>
    <t xml:space="preserve">Keltic Quay Cottages</t>
  </si>
  <si>
    <t xml:space="preserve">90 Main St</t>
  </si>
  <si>
    <t xml:space="preserve">Whycocomagh</t>
  </si>
  <si>
    <t xml:space="preserve">B0E 0A6</t>
  </si>
  <si>
    <t xml:space="preserve">Letter + key card M23 taped on, return label, stamp</t>
  </si>
  <si>
    <t xml:space="preserve">M24</t>
  </si>
  <si>
    <t xml:space="preserve">Queen Anne Inn</t>
  </si>
  <si>
    <t xml:space="preserve">494 Upper St George St</t>
  </si>
  <si>
    <t xml:space="preserve">B0S 0A8</t>
  </si>
  <si>
    <t xml:space="preserve">Valley</t>
  </si>
  <si>
    <t xml:space="preserve">Letter + key card M24 taped on, return label, stamp</t>
  </si>
  <si>
    <t xml:space="preserve">M25</t>
  </si>
  <si>
    <t xml:space="preserve">The Garrison House Inn</t>
  </si>
  <si>
    <t xml:space="preserve">350 St George St</t>
  </si>
  <si>
    <t xml:space="preserve">B0S 1A0</t>
  </si>
  <si>
    <t xml:space="preserve">Letter + key card M25 taped on, return label, stamp</t>
  </si>
  <si>
    <t xml:space="preserve">M26</t>
  </si>
  <si>
    <t xml:space="preserve">Bakers Bay Cottages</t>
  </si>
  <si>
    <t xml:space="preserve">32 Bakers Bay Lane</t>
  </si>
  <si>
    <t xml:space="preserve">Halls Harbour</t>
  </si>
  <si>
    <t xml:space="preserve">B0P 1J0</t>
  </si>
  <si>
    <t xml:space="preserve">Letter + key card M26 taped on, return label, stamp</t>
  </si>
  <si>
    <t xml:space="preserve">M27</t>
  </si>
  <si>
    <t xml:space="preserve">Tides Inn Guest Suites</t>
  </si>
  <si>
    <t xml:space="preserve">4079 NS-359</t>
  </si>
  <si>
    <t xml:space="preserve">Letter + key card M27 taped on, return label, stamp</t>
  </si>
  <si>
    <t xml:space="preserve">M28</t>
  </si>
  <si>
    <t xml:space="preserve">Blomidon Inn</t>
  </si>
  <si>
    <t xml:space="preserve">195 Main St</t>
  </si>
  <si>
    <t xml:space="preserve">B4P 2H9</t>
  </si>
  <si>
    <t xml:space="preserve">Letter + key card M28 taped on, return label, stamp</t>
  </si>
  <si>
    <t xml:space="preserve">M29</t>
  </si>
  <si>
    <t xml:space="preserve">Stella Rose B&amp;B</t>
  </si>
  <si>
    <t xml:space="preserve">611 Main St</t>
  </si>
  <si>
    <t xml:space="preserve">B4P 1G1</t>
  </si>
  <si>
    <t xml:space="preserve">Letter + key card M29 taped on, return label, stamp</t>
  </si>
  <si>
    <t xml:space="preserve">M30</t>
  </si>
  <si>
    <t xml:space="preserve">620 Main St</t>
  </si>
  <si>
    <t xml:space="preserve">B4P 1E8</t>
  </si>
  <si>
    <t xml:space="preserve">Letter + key card M30 taped on, return label, stamp</t>
  </si>
  <si>
    <t xml:space="preserve">Staffkin</t>
  </si>
  <si>
    <t xml:space="preserve">Archie's Welding Inc.</t>
  </si>
  <si>
    <t xml:space="preserve">Welding and fabrication</t>
  </si>
  <si>
    <t xml:space="preserve">Address not posted: find it via the Job Bank posting, or skip</t>
  </si>
  <si>
    <t xml:space="preserve">B4N 3N4</t>
  </si>
  <si>
    <t xml:space="preserve">Postcard B ($9 reference checks). Hiring: Welding supervisor.</t>
  </si>
  <si>
    <t xml:space="preserve">Jyllikleen</t>
  </si>
  <si>
    <t xml:space="preserve">Cleaning service</t>
  </si>
  <si>
    <t xml:space="preserve">B4N 3E6</t>
  </si>
  <si>
    <t xml:space="preserve">Postcard B ($9 reference checks). Hiring: Cleaner.</t>
  </si>
  <si>
    <t xml:space="preserve">King's Janitorial Inc.</t>
  </si>
  <si>
    <t xml:space="preserve">Commercial cleaning</t>
  </si>
  <si>
    <t xml:space="preserve">Eric Turner (snow removal)</t>
  </si>
  <si>
    <t xml:space="preserve">Snow removal contractor</t>
  </si>
  <si>
    <t xml:space="preserve">B4N 4K4</t>
  </si>
  <si>
    <t xml:space="preserve">Postcard B ($9 reference checks). Hiring: Snow removal operator.</t>
  </si>
  <si>
    <t xml:space="preserve">Keegix backup batch: keegix/2-lists/mail-backup-20.csv (send after these 30). Tattingstone Inn (M30) is also on the Staffkin "hiring now" list: one letter, mention both if you visit in person.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</si>
</sst>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7293A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293A"/>
        <bgColor rgb="FF003366"/>
      </patternFill>
    </fill>
    <fill>
      <patternFill patternType="solid">
        <fgColor rgb="FFE8EEF2"/>
        <bgColor rgb="FFFFFFFF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293A"/>
          <bgColor rgb="FF000000"/>
        </patternFill>
      </fill>
    </dxf>
    <dxf>
      <fill>
        <patternFill patternType="solid">
          <fgColor rgb="FFE8EE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2"/>
      <rgbColor rgb="FF660066"/>
      <rgbColor rgb="FFFF8080"/>
      <rgbColor rgb="FF0563C1"/>
      <rgbColor rgb="FFD0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9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Computerized%20Business%20Solutions%2C%20Suite%20500%2C%20946%20Park%20St%2C%20Kentville%2C%20NS%20B4N%203V7" TargetMode="External"/><Relationship Id="rId2" Type="http://schemas.openxmlformats.org/officeDocument/2006/relationships/hyperlink" Target="https://www.google.com/maps/search/?api=1&amp;query=Taylor%20MacLellan%20Cochrane%2C%2050%20Bridge%20St%2C%20Kentville%2C%20NS%20B4N%202E4" TargetMode="External"/><Relationship Id="rId3" Type="http://schemas.openxmlformats.org/officeDocument/2006/relationships/hyperlink" Target="https://www.google.com/maps/search/?api=1&amp;query=White%20Rock%20Mechanical%2C%2051%20Chipman%20Dr%20%231%2C%20Kentville%2C%20NS%20B4N%203V7" TargetMode="External"/><Relationship Id="rId4" Type="http://schemas.openxmlformats.org/officeDocument/2006/relationships/hyperlink" Target="https://www.google.com/maps/search/?api=1&amp;query=White%20Rock%20Electrical%20Services%20Ltd%2C%2087%20Chipman%20Dr%20%231%2C%20Kentville%2C%20NS%20B4N%203V7" TargetMode="External"/><Relationship Id="rId5" Type="http://schemas.openxmlformats.org/officeDocument/2006/relationships/hyperlink" Target="https://www.google.com/maps/search/?api=1&amp;query=Kent%20%26%20Duffett%20Chartered%20Professional%20Accountants%2C%2046%20Chipman%20Dr%20Unit%201%2C%20Kentville%2C%20NS%20B4N%203V7" TargetMode="External"/><Relationship Id="rId6" Type="http://schemas.openxmlformats.org/officeDocument/2006/relationships/hyperlink" Target="https://www.google.com/maps/search/?api=1&amp;query=Credit%20Union%20Rec%20Complex%2C%2038%20Gary%20Pearl%20Dr%2C%20Kentville%2C%20NS" TargetMode="External"/><Relationship Id="rId7" Type="http://schemas.openxmlformats.org/officeDocument/2006/relationships/hyperlink" Target="https://www.google.com/maps/search/?api=1&amp;query=Troy%20Bennett%27s%20Auto%20Repair%20%26%20Service%2C%2028%20lyons%20drive%2C%20Kentville%2C%20NS%20B4N%203V7" TargetMode="External"/><Relationship Id="rId8" Type="http://schemas.openxmlformats.org/officeDocument/2006/relationships/hyperlink" Target="https://www.google.com/maps/search/?api=1&amp;query=Kentville%20Recreation%20Centre%2C%20348%20Main%20St%2C%20Kentville%2C%20NS" TargetMode="External"/><Relationship Id="rId9" Type="http://schemas.openxmlformats.org/officeDocument/2006/relationships/hyperlink" Target="https://www.google.com/maps/search/?api=1&amp;query=Bage%20CPA%2C%20402%20Main%20St%2C%20Kentville%2C%20NS%20B4N%201K8" TargetMode="External"/><Relationship Id="rId10" Type="http://schemas.openxmlformats.org/officeDocument/2006/relationships/hyperlink" Target="https://www.google.com/maps/search/?api=1&amp;query=Mister%20Printer%2C%20409%20Main%20St%2C%20Kentville%2C%20NS%20B4N%202E2" TargetMode="External"/><Relationship Id="rId11" Type="http://schemas.openxmlformats.org/officeDocument/2006/relationships/hyperlink" Target="https://www.google.com/maps/search/?api=1&amp;query=CBDC%20Hants-Kings%2C%20448%20Main%20St%2C%20Kentville%2C%20NS%20B4N%201R5" TargetMode="External"/><Relationship Id="rId12" Type="http://schemas.openxmlformats.org/officeDocument/2006/relationships/hyperlink" Target="https://www.google.com/maps/search/?api=1&amp;query=Valley%20Regional%20Enterprise%20Network%20%28Valley%20REN%29%2C%20448%20Main%20St%2C%20Kentville%2C%20NS%20B4N%201R5" TargetMode="External"/><Relationship Id="rId13" Type="http://schemas.openxmlformats.org/officeDocument/2006/relationships/hyperlink" Target="https://www.google.com/maps/search/?api=1&amp;query=Annapolis%20Valley%20Chamber%20of%20Commerce%2C%20448%20Main%20St%2C%20Kentville%2C%20NS%20B4N%201R5" TargetMode="External"/><Relationship Id="rId14" Type="http://schemas.openxmlformats.org/officeDocument/2006/relationships/hyperlink" Target="https://www.google.com/maps/search/?api=1&amp;query=Valley%20Business%20Hub%2C%20448%20Main%20St%2C%20Kentville%2C%20NS%20B4N%201R5" TargetMode="External"/><Relationship Id="rId15" Type="http://schemas.openxmlformats.org/officeDocument/2006/relationships/hyperlink" Target="https://www.google.com/maps/search/?api=1&amp;query=mbf%20Chartered%20Professional%20Accountants%2C%20464%20Main%20St%2C%20Kentville%2C%20NS%20B4N%201K8" TargetMode="External"/><Relationship Id="rId16" Type="http://schemas.openxmlformats.org/officeDocument/2006/relationships/hyperlink" Target="https://www.google.com/maps/search/?api=1&amp;query=Greg%20Dodge%27s%20Auto%20Repair%2C%2081%20New%20Canaan%20Rd%2C%20Kentville%2C%20NS%20B4N%204K1" TargetMode="External"/><Relationship Id="rId17" Type="http://schemas.openxmlformats.org/officeDocument/2006/relationships/hyperlink" Target="https://www.google.com/maps/search/?api=1&amp;query=Ron%20Martin%27s%20Plumbing%20and%20Heating%202022%20Ltd%2C%20913%20Park%20St%2C%20Kentville%2C%20NS%20B4N%205H3" TargetMode="External"/><Relationship Id="rId18" Type="http://schemas.openxmlformats.org/officeDocument/2006/relationships/hyperlink" Target="https://www.google.com/maps/search/?api=1&amp;query=Van%20Meekeren%20Farms%20Ltd.%2C%20237%20Thorpe%20Rd%2C%20Kentville%2C%20NS%20B4N%203V7" TargetMode="External"/><Relationship Id="rId19" Type="http://schemas.openxmlformats.org/officeDocument/2006/relationships/hyperlink" Target="https://www.google.com/maps/search/?api=1&amp;query=Infinite%20Solutions%20Bookkeeping%20%26%20Accounting%2C%2025%20Webster%20Ct%2C%20Kentville%2C%20NS%20B4N%201H3" TargetMode="External"/><Relationship Id="rId20" Type="http://schemas.openxmlformats.org/officeDocument/2006/relationships/hyperlink" Target="https://www.google.com/maps/search/?api=1&amp;query=Doane%20Grant%20Thornton%20LLP%2C%2015%20Webster%20St%2C%20Kentville%2C%20NS%20B4N%201H4" TargetMode="External"/><Relationship Id="rId21" Type="http://schemas.openxmlformats.org/officeDocument/2006/relationships/hyperlink" Target="https://www.google.com/maps/search/?api=1&amp;query=The%20Space%20and%20Company%20%28coworking%29%2C%2010%20Webster%20St%20%23210%2C%20Kentville%2C%20NS" TargetMode="External"/><Relationship Id="rId22" Type="http://schemas.openxmlformats.org/officeDocument/2006/relationships/hyperlink" Target="https://www.google.com/maps/search/?api=1&amp;query=Stoddart%27s%20Automotive%20Service%20Ltd.%2C%206961%20Nova%20Scotia%20Trunk%201%2C%20Coldbrook%2C%20NS%20B4R%201C5" TargetMode="External"/><Relationship Id="rId23" Type="http://schemas.openxmlformats.org/officeDocument/2006/relationships/hyperlink" Target="https://www.google.com/maps/search/?api=1&amp;query=Repracorp%20Design%20and%20Print%2C%208927%20Commercial%20St%2C%20New%20Minas%2C%20NS" TargetMode="External"/><Relationship Id="rId24" Type="http://schemas.openxmlformats.org/officeDocument/2006/relationships/hyperlink" Target="https://www.google.com/maps/search/?api=1&amp;query=Panda%20Print%2C%209146%20Commercial%20St%2C%20New%20Minas%2C%20NS" TargetMode="External"/><Relationship Id="rId25" Type="http://schemas.openxmlformats.org/officeDocument/2006/relationships/hyperlink" Target="https://www.google.com/maps/search/?api=1&amp;query=Valley%20Credit%20Union%2C%209237%20Commercial%20St%2C%20New%20Minas%2C%20NS" TargetMode="External"/><Relationship Id="rId26" Type="http://schemas.openxmlformats.org/officeDocument/2006/relationships/hyperlink" Target="https://www.google.com/maps/search/?api=1&amp;query=Fleetworx%20Inc.%2C%2064%20Minas%20Warehouse%20Rd%2C%20New%20Minas%2C%20NS%20B4N%205G3" TargetMode="External"/><Relationship Id="rId27" Type="http://schemas.openxmlformats.org/officeDocument/2006/relationships/hyperlink" Target="https://www.google.com/maps/search/?api=1&amp;query=Valley%20Power%20Products%20%28rentals%29%2C%209%20Nova%20Dr%2C%20New%20Minas%2C%20NS%20B4N%203G7" TargetMode="External"/><Relationship Id="rId28" Type="http://schemas.openxmlformats.org/officeDocument/2006/relationships/hyperlink" Target="https://www.google.com/maps/search/?api=1&amp;query=TNT%20Tool%20Rental%20%26%20Safety%2C%209776%20Hwy%201%2C%20Greenwich%2C%20NS%20B4P%200A7" TargetMode="External"/><Relationship Id="rId29" Type="http://schemas.openxmlformats.org/officeDocument/2006/relationships/hyperlink" Target="https://www.google.com/maps/search/?api=1&amp;query=Noggins%20Corner%20Farm%20Market%2C%2010009%20Hwy%201%2C%20Greenwich%2C%20NS" TargetMode="External"/><Relationship Id="rId30" Type="http://schemas.openxmlformats.org/officeDocument/2006/relationships/hyperlink" Target="https://www.google.com/maps/search/?api=1&amp;query=Hennigar%27s%20Farm%20Market%2C%2010272%2C%20Nova%20Scotia%20Trunk%201%2C%20Wolfville%2C%20NS%20B4P%202R2" TargetMode="External"/><Relationship Id="rId31" Type="http://schemas.openxmlformats.org/officeDocument/2006/relationships/hyperlink" Target="https://www.google.com/maps/search/?api=1&amp;query=Rafuse%20Home%20Hardware%20Building%20Centre%2C%20180%20Dykeland%20St%2C%20Wolfville%2C%20NS%20B4P%201A2" TargetMode="External"/><Relationship Id="rId32" Type="http://schemas.openxmlformats.org/officeDocument/2006/relationships/hyperlink" Target="https://www.google.com/maps/search/?api=1&amp;query=Jeju%20Restaurant%2C%208%20Elm%20Ave%2C%20Wolfville%2C%20NS%20B4P%201Z9" TargetMode="External"/><Relationship Id="rId33" Type="http://schemas.openxmlformats.org/officeDocument/2006/relationships/hyperlink" Target="https://www.google.com/maps/search/?api=1&amp;query=Troy%20Restaurant%20%26%20Grill%2C%2012D%20Elm%20Ave%2C%20Wolfville%2C%20NS%20B4P%201Z9" TargetMode="External"/><Relationship Id="rId34" Type="http://schemas.openxmlformats.org/officeDocument/2006/relationships/hyperlink" Target="https://www.google.com/maps/search/?api=1&amp;query=Realm%20Boutique%2C%2012%20Elm%20Ave%2C%20Wolfville%2C%20NS%20B4P%201Z9" TargetMode="External"/><Relationship Id="rId35" Type="http://schemas.openxmlformats.org/officeDocument/2006/relationships/hyperlink" Target="https://www.google.com/maps/search/?api=1&amp;query=Charts%20Caf&#233;%2C%2016%20Elm%20Ave%2C%20Wolfville%2C%20NS%20B4P%202S2" TargetMode="External"/><Relationship Id="rId36" Type="http://schemas.openxmlformats.org/officeDocument/2006/relationships/hyperlink" Target="https://www.google.com/maps/search/?api=1&amp;query=Wolfville%20Memorial%20Library%2C%2021%20Elm%20Ave%2C%20Wolfville%2C%20NS%20B4P%202A1" TargetMode="External"/><Relationship Id="rId37" Type="http://schemas.openxmlformats.org/officeDocument/2006/relationships/hyperlink" Target="https://www.google.com/maps/search/?api=1&amp;query=Wolfville%20Farmers%27%20Market%2C%2024%20Elm%20Ave%2C%20Wolfville%2C%20NS%20B4P%201Z9" TargetMode="External"/><Relationship Id="rId38" Type="http://schemas.openxmlformats.org/officeDocument/2006/relationships/hyperlink" Target="https://www.google.com/maps/search/?api=1&amp;query=Li%27s%20Wok%20%26%20Grill%2C%20112%20Front%20St%2C%20Wolfville%2C%20NS" TargetMode="External"/><Relationship Id="rId39" Type="http://schemas.openxmlformats.org/officeDocument/2006/relationships/hyperlink" Target="https://www.google.com/maps/search/?api=1&amp;query=Acadia%20Students%27%20Union%2C%2030%20Highland%20Ave%2C%20Wolfville%2C%20NS" TargetMode="External"/><Relationship Id="rId40" Type="http://schemas.openxmlformats.org/officeDocument/2006/relationships/hyperlink" Target="https://www.google.com/maps/search/?api=1&amp;query=Royal%20Canadian%20Legion%20Branch%2074%2C%20310%20Main%20St%2C%20Wolfville%2C%20NS" TargetMode="External"/><Relationship Id="rId41" Type="http://schemas.openxmlformats.org/officeDocument/2006/relationships/hyperlink" Target="https://www.google.com/maps/search/?api=1&amp;query=The%20Church%20Brewing%20Co%2C%20329%20Main%20St%2C%20Wolfville%2C%20NS%20B4P%201C4" TargetMode="External"/><Relationship Id="rId42" Type="http://schemas.openxmlformats.org/officeDocument/2006/relationships/hyperlink" Target="https://www.google.com/maps/search/?api=1&amp;query=T.A.N.%20Coffee%20Wolfville%2C%20378%20Main%20St%2C%20Wolfville%2C%20NS%20B4P%202B8" TargetMode="External"/><Relationship Id="rId43" Type="http://schemas.openxmlformats.org/officeDocument/2006/relationships/hyperlink" Target="https://www.google.com/maps/search/?api=1&amp;query=MacKay%20Real%20Estate%2C%20382%20Main%20St%2C%20Wolfville%2C%20NS%20B4P%202B8" TargetMode="External"/><Relationship Id="rId44" Type="http://schemas.openxmlformats.org/officeDocument/2006/relationships/hyperlink" Target="https://www.google.com/maps/search/?api=1&amp;query=Wild%20Lily%2C%20385%20Main%20St%2C%20Wolfville%2C%20NS%20B4P%202B8" TargetMode="External"/><Relationship Id="rId45" Type="http://schemas.openxmlformats.org/officeDocument/2006/relationships/hyperlink" Target="https://www.google.com/maps/search/?api=1&amp;query=Juniper%20Luncheonette%2C%20389%20Main%20St%2C%20Wolfville%2C%20NS%20B4P%202B8" TargetMode="External"/><Relationship Id="rId46" Type="http://schemas.openxmlformats.org/officeDocument/2006/relationships/hyperlink" Target="https://www.google.com/maps/search/?api=1&amp;query=Jane&#8217;s%20Again%2C%20390%20Main%20St%2C%20Wolfville%2C%20NS%20B4P%201A4" TargetMode="External"/><Relationship Id="rId47" Type="http://schemas.openxmlformats.org/officeDocument/2006/relationships/hyperlink" Target="https://www.google.com/maps/search/?api=1&amp;query=Joe%27s%20Food%20Emporium%2C%20434%20Main%20St%2C%20Wolfville%2C%20NS%20B4P%202A1" TargetMode="External"/><Relationship Id="rId48" Type="http://schemas.openxmlformats.org/officeDocument/2006/relationships/hyperlink" Target="https://www.google.com/maps/search/?api=1&amp;query=Just%20Us%21%20Wolfville%20Caf&#233;%2C%20450%20Main%20St%2C%20Wolfville%2C%20NS%20B4P%202A1" TargetMode="External"/><Relationship Id="rId49" Type="http://schemas.openxmlformats.org/officeDocument/2006/relationships/hyperlink" Target="https://www.google.com/maps/search/?api=1&amp;query=Valley%20Girl%20Boutique%2C%20452%20Main%20St%2C%20Wolfville%2C%20NS%20B4P%202A1" TargetMode="External"/><Relationship Id="rId50" Type="http://schemas.openxmlformats.org/officeDocument/2006/relationships/hyperlink" Target="https://www.google.com/maps/search/?api=1&amp;query=Paddy%27s%20Brewpub%20%26%20Rosie%27s%20Restaurant%2C%20460%20Main%20St%2C%20Wolfville%2C%20NS%20B4P%202A1" TargetMode="External"/><Relationship Id="rId51" Type="http://schemas.openxmlformats.org/officeDocument/2006/relationships/hyperlink" Target="https://www.google.com/maps/search/?api=1&amp;query=The%20Market%20-%20Groove%20Merchants%2C%20466%20Main%20St%2C%20Wolfville%2C%20NS%20B4P%202A1" TargetMode="External"/><Relationship Id="rId52" Type="http://schemas.openxmlformats.org/officeDocument/2006/relationships/hyperlink" Target="https://www.google.com/maps/search/?api=1&amp;query=The%20Library%20Pub%2C%20472%20Main%20St%2C%20Wolfville%2C%20NS%20B4P%201E2" TargetMode="External"/><Relationship Id="rId53" Type="http://schemas.openxmlformats.org/officeDocument/2006/relationships/hyperlink" Target="https://www.google.com/maps/search/?api=1&amp;query=Tattingstone%20Inn%2C%20620%20Main%20St%2C%20Wolfville%2C%20NS%20B4P%201E8" TargetMode="External"/><Relationship Id="rId54" Type="http://schemas.openxmlformats.org/officeDocument/2006/relationships/hyperlink" Target="https://www.google.com/maps/search/?api=1&amp;query=Sherri%20%26%20Carrie%20-%20Annapolis%20Valley%20Real%20Estate%20Team%2C%20360%20Main%20St%20Unit%2023%2C%20Wolfville%2C%20NS%20B4P%201C7" TargetMode="External"/><Relationship Id="rId55" Type="http://schemas.openxmlformats.org/officeDocument/2006/relationships/hyperlink" Target="https://www.google.com/maps/search/?api=1&amp;query=Studio%2014%20Gifts%20%26%20Gallery%2C%2010032%20Nova%20Scotia%20Trunk%201%2C%20Wolfville%2C%20NS%20B4P%202R2" TargetMode="External"/><Relationship Id="rId56" Type="http://schemas.openxmlformats.org/officeDocument/2006/relationships/hyperlink" Target="https://www.google.com/maps/search/?api=1&amp;query=Elderkin%27s%20Farm%20Market%2C%20Bakery%2C%20%26%20U-Pick%2C%2010362%20Nova%20Scotia%20Trunk%201%2C%20Wolfville%2C%20NS%20B4P%202R2" TargetMode="External"/><Relationship Id="rId57" Type="http://schemas.openxmlformats.org/officeDocument/2006/relationships/hyperlink" Target="https://www.google.com/maps/search/?api=1&amp;query=Domaine%20de%20Grand%20Pr&#233;%2C%2011611%20Evangeline%20Trl%2C%20Grand%20Pr&#233;%2C%20NS%20B0P%201M0" TargetMode="External"/><Relationship Id="rId58" Type="http://schemas.openxmlformats.org/officeDocument/2006/relationships/hyperlink" Target="https://www.google.com/maps/search/?api=1&amp;query=Luckett%20Vineyards%2C%201293%20Grand%20Pr&#233;%20Rd%2C%20Wallbrook%2C%20NS%20B4P%202R3" TargetMode="External"/><Relationship Id="rId59" Type="http://schemas.openxmlformats.org/officeDocument/2006/relationships/hyperlink" Target="https://www.google.com/maps/search/?api=1&amp;query=Just%20Us%21%20Grand%20Pr&#233;%20Caf&#233;%20%26%20Roastery%2C%2011865%20Nova%20Scotia%20Trunk%201%2C%20Hortonville%2C%20NS%20B4P%202R3" TargetMode="External"/><Relationship Id="rId60" Type="http://schemas.openxmlformats.org/officeDocument/2006/relationships/hyperlink" Target="https://www.google.com/maps/search/?api=1&amp;query=Paddy%27s%20Irish%20Brewpub%20%26%20Rosie%27s%20Restaurant%2C%2042%20Aberdeen%20St%2C%20Kentville%2C%20NS%20B4N%202N1" TargetMode="External"/><Relationship Id="rId61" Type="http://schemas.openxmlformats.org/officeDocument/2006/relationships/hyperlink" Target="https://www.google.com/maps/search/?api=1&amp;query=TJ%27s%20Convenience%20Store%20Ltd.%2C%20466%20Aldershot%20Rd%2C%20Kentville%2C%20NS%20B4N%203A4" TargetMode="External"/><Relationship Id="rId62" Type="http://schemas.openxmlformats.org/officeDocument/2006/relationships/hyperlink" Target="https://www.google.com/maps/search/?api=1&amp;query=NSCC%20Kingstec%20Campus%2C%20236%20Belcher%20St%2C%20Kentville%2C%20NS" TargetMode="External"/><Relationship Id="rId63" Type="http://schemas.openxmlformats.org/officeDocument/2006/relationships/hyperlink" Target="https://www.google.com/maps/search/?api=1&amp;query=Maytag%20Coin%20Laundry%2C%20252%20Main%20St%2C%20Kentville%2C%20NS%20B4N%202A6" TargetMode="External"/><Relationship Id="rId64" Type="http://schemas.openxmlformats.org/officeDocument/2006/relationships/hyperlink" Target="https://www.google.com/maps/search/?api=1&amp;query=Maritime%20Express%20Cider%20Co.%2C%20325%20Main%20St%2C%20Kentville%2C%20NS%20B4N%201K5" TargetMode="External"/><Relationship Id="rId65" Type="http://schemas.openxmlformats.org/officeDocument/2006/relationships/hyperlink" Target="https://www.google.com/maps/search/?api=1&amp;query=Kings%20Arms%20Pub%2C%20390%20Main%20St%2C%20Kentville%2C%20NS%20B4N%201K8" TargetMode="External"/><Relationship Id="rId66" Type="http://schemas.openxmlformats.org/officeDocument/2006/relationships/hyperlink" Target="https://www.google.com/maps/search/?api=1&amp;query=Half%20Acre%20Cafe%2C%20395%20Main%20St%2C%20Kentville%2C%20NS%20B4N%202E2" TargetMode="External"/><Relationship Id="rId67" Type="http://schemas.openxmlformats.org/officeDocument/2006/relationships/hyperlink" Target="https://www.google.com/maps/search/?api=1&amp;query=Rockwell%20Home%20Hardware%2C%20414%20Main%20St%2C%20Kentville%2C%20NS%20B4N%203W4" TargetMode="External"/><Relationship Id="rId68" Type="http://schemas.openxmlformats.org/officeDocument/2006/relationships/hyperlink" Target="https://www.google.com/maps/search/?api=1&amp;query=T.A.N.%20Coffee%20Kentville%2C%20431%20Main%20St%2C%20Kentville%2C%20NS%20B4N%201K7" TargetMode="External"/><Relationship Id="rId69" Type="http://schemas.openxmlformats.org/officeDocument/2006/relationships/hyperlink" Target="https://www.google.com/maps/search/?api=1&amp;query=TACOcentric%2C%20437%20Main%20St%2C%20Kentville%2C%20NS%20B4N%201K9" TargetMode="External"/><Relationship Id="rId70" Type="http://schemas.openxmlformats.org/officeDocument/2006/relationships/hyperlink" Target="https://www.google.com/maps/search/?api=1&amp;query=Kentville%20Library%2C%20440%20Main%20St%2C%20Kentville%2C%20NS%20B4N%201R5" TargetMode="External"/><Relationship Id="rId71" Type="http://schemas.openxmlformats.org/officeDocument/2006/relationships/hyperlink" Target="https://www.google.com/maps/search/?api=1&amp;query=Fraser%27s%20Pro%20Home%20Centre%2C%2014%20Pelton%20Dr%2C%20Kentville%2C%20NS%20B4N%203V7" TargetMode="External"/><Relationship Id="rId72" Type="http://schemas.openxmlformats.org/officeDocument/2006/relationships/hyperlink" Target="https://www.google.com/maps/search/?api=1&amp;query=Royal%20Canadian%20Legion%20Branch%206%2C%2037%20River%20St%2C%20Kentville%2C%20NS" TargetMode="External"/><Relationship Id="rId73" Type="http://schemas.openxmlformats.org/officeDocument/2006/relationships/hyperlink" Target="https://www.google.com/maps/search/?api=1&amp;query=Victor%20cuts%20barber%20shop%2C%2017%20River%20St%20%2321%2C%20Kentville%2C%20NS%20B4N%205E3" TargetMode="External"/><Relationship Id="rId74" Type="http://schemas.openxmlformats.org/officeDocument/2006/relationships/hyperlink" Target="https://www.google.com/maps/search/?api=1&amp;query=Wheelhouse%20Coffee%20Co.%2C%202%20Webster%20St%2C%20Kentville%2C%20NS%20B4N%201H7" TargetMode="External"/><Relationship Id="rId75" Type="http://schemas.openxmlformats.org/officeDocument/2006/relationships/hyperlink" Target="https://www.google.com/maps/search/?api=1&amp;query=Kentville%20Barber%20Shop%2C%20106%20Webster%20St%2C%20Kentville%2C%20NS%20B4N%201H9" TargetMode="External"/><Relationship Id="rId76" Type="http://schemas.openxmlformats.org/officeDocument/2006/relationships/hyperlink" Target="https://www.google.com/maps/search/?api=1&amp;query=Carquest%20Auto%20Parts%2C%20108%20Coldbrook%20Village%20Park%20Dr%2C%20Coldbrook%2C%20NS" TargetMode="External"/><Relationship Id="rId77" Type="http://schemas.openxmlformats.org/officeDocument/2006/relationships/hyperlink" Target="https://www.google.com/maps/search/?api=1&amp;query=Callister%27s%20Country%20Kitchen%2C%207076%20Evangeline%20Trl%2C%20Coldbrook%2C%20NS%20B4R%201C1" TargetMode="External"/><Relationship Id="rId78" Type="http://schemas.openxmlformats.org/officeDocument/2006/relationships/hyperlink" Target="https://www.google.com/maps/search/?api=1&amp;query=Scotian%20Gold%20Country%20Store%2C%207027%20Hwy%201%2C%20Coldbrook%2C%20NS" TargetMode="External"/><Relationship Id="rId79" Type="http://schemas.openxmlformats.org/officeDocument/2006/relationships/hyperlink" Target="https://www.google.com/maps/search/?api=1&amp;query=Scott%27s%20Fish%20%26%20Chips%2C%207165%20Nova%20Scotia%20Trunk%201%2C%20Coldbrook%2C%20NS%20B4R%201A2" TargetMode="External"/><Relationship Id="rId80" Type="http://schemas.openxmlformats.org/officeDocument/2006/relationships/hyperlink" Target="https://www.google.com/maps/search/?api=1&amp;query=Kai-Wing%20Restaurant%20Ltd%2C%207299%20Nova%20Scotia%20Trunk%201%2C%20Coldbrook%2C%20NS%20B4R%201B9" TargetMode="External"/><Relationship Id="rId81" Type="http://schemas.openxmlformats.org/officeDocument/2006/relationships/hyperlink" Target="https://www.google.com/maps/search/?api=1&amp;query=NAPA%20Auto%20Parts%2C%208793%20Commercial%20St%2C%20New%20Minas%2C%20NS" TargetMode="External"/><Relationship Id="rId82" Type="http://schemas.openxmlformats.org/officeDocument/2006/relationships/hyperlink" Target="https://www.google.com/maps/search/?api=1&amp;query=Holland%20Home%20Leisure%2C%208794%20Commercial%20St%2C%20New%20Minas%2C%20NS%20B4N%203C5" TargetMode="External"/><Relationship Id="rId83" Type="http://schemas.openxmlformats.org/officeDocument/2006/relationships/hyperlink" Target="https://www.google.com/maps/search/?api=1&amp;query=Nothin%27%20Fancy%20Furniture%20Warehouse%2C%208830%20Commercial%20St%2C%20New%20Minas%2C%20NS%20B4N%203C6" TargetMode="External"/><Relationship Id="rId84" Type="http://schemas.openxmlformats.org/officeDocument/2006/relationships/hyperlink" Target="https://www.google.com/maps/search/?api=1&amp;query=Chrismaria%20Family%20Restaurant%20%28%20Indian%20Restaurant%29%2C%208934%20Commercial%20St%2C%20New%20Minas%2C%20NS%20B4N%203C9" TargetMode="External"/><Relationship Id="rId85" Type="http://schemas.openxmlformats.org/officeDocument/2006/relationships/hyperlink" Target="https://www.google.com/maps/search/?api=1&amp;query=Old%20Money%20Hair%20%26%20Co%2C%208943%20Commercial%20St%2C%20New%20Minas%2C%20NS%20B4N%203E1" TargetMode="External"/><Relationship Id="rId86" Type="http://schemas.openxmlformats.org/officeDocument/2006/relationships/hyperlink" Target="https://www.google.com/maps/search/?api=1&amp;query=BARIIS%20HALAL%20%26%20PIZZA%20HOUSE%2C%209005%20Commercial%20St%2C%20New%20Minas%2C%20NS%20B4N%203E2" TargetMode="External"/><Relationship Id="rId87" Type="http://schemas.openxmlformats.org/officeDocument/2006/relationships/hyperlink" Target="https://www.google.com/maps/search/?api=1&amp;query=Running%20Man%20Grocery%20Mart%2C%209036%20Commercial%20St%2C%20New%20Minas%2C%20NS" TargetMode="External"/><Relationship Id="rId88" Type="http://schemas.openxmlformats.org/officeDocument/2006/relationships/hyperlink" Target="https://www.google.com/maps/search/?api=1&amp;query=Hampton%20House%20Furniture%2C%209039%20Commercial%20St%2C%20New%20Minas%2C%20NS%20B4N%203E6" TargetMode="External"/><Relationship Id="rId89" Type="http://schemas.openxmlformats.org/officeDocument/2006/relationships/hyperlink" Target="https://www.google.com/maps/search/?api=1&amp;query=The%20UPS%20Store%2C%209049%20Commercial%20St%2C%20New%20Minas%2C%20NS" TargetMode="External"/><Relationship Id="rId90" Type="http://schemas.openxmlformats.org/officeDocument/2006/relationships/hyperlink" Target="https://www.google.com/maps/search/?api=1&amp;query=Atlantic%20Superstore%2C%209064%20Commercial%20St%2C%20New%20Minas%2C%20NS" TargetMode="External"/><Relationship Id="rId91" Type="http://schemas.openxmlformats.org/officeDocument/2006/relationships/hyperlink" Target="https://www.google.com/maps/search/?api=1&amp;query=Staples%20%2B%20Staples%20Print%2C%209081%20Commercial%20St%2C%20New%20Minas%2C%20NS" TargetMode="External"/><Relationship Id="rId92" Type="http://schemas.openxmlformats.org/officeDocument/2006/relationships/hyperlink" Target="https://www.google.com/maps/search/?api=1&amp;query=Walmart%20Supercentre%2C%209097%20Commercial%20St%2C%20New%20Minas%2C%20NS" TargetMode="External"/><Relationship Id="rId93" Type="http://schemas.openxmlformats.org/officeDocument/2006/relationships/hyperlink" Target="https://www.google.com/maps/search/?api=1&amp;query=Sobeys%20New%20Minas%2C%209256%20Commercial%20St%2C%20New%20Minas%2C%20NS" TargetMode="External"/><Relationship Id="rId94" Type="http://schemas.openxmlformats.org/officeDocument/2006/relationships/hyperlink" Target="https://www.google.com/maps/search/?api=1&amp;query=M%26M%20Food%20Market%2C%209256%20Commercial%20St%2C%20New%20Minas%2C%20NS" TargetMode="External"/><Relationship Id="rId95" Type="http://schemas.openxmlformats.org/officeDocument/2006/relationships/hyperlink" Target="https://www.google.com/maps/search/?api=1&amp;query=St.%20Louis%20Bar%20%26%20Grill%2C%209049%20Commercial%20St%20Unit%206-7A%2C%20New%20Minas%2C%20NS%20B4N%205A4" TargetMode="External"/><Relationship Id="rId96" Type="http://schemas.openxmlformats.org/officeDocument/2006/relationships/hyperlink" Target="https://www.google.com/maps/search/?api=1&amp;query=The%20Valley%20Barber%2C%2011A%20Crescent%20Dr%2C%20New%20Minas%2C%20NS%20B4N%203G7" TargetMode="External"/><Relationship Id="rId97" Type="http://schemas.openxmlformats.org/officeDocument/2006/relationships/hyperlink" Target="https://www.google.com/maps/search/?api=1&amp;query=Sushi%20Fang%2C%207%20Kentucky%20Ct%2C%20New%20Minas%2C%20NS%20B4N%204N1" TargetMode="External"/><Relationship Id="rId98" Type="http://schemas.openxmlformats.org/officeDocument/2006/relationships/hyperlink" Target="https://www.google.com/maps/search/?api=1&amp;query=Kent%20Building%20Supplies%2C%205447%20Prospect%20Rd%2C%20New%20Minas%2C%20NS%20B4N%203L1" TargetMode="External"/><Relationship Id="rId99" Type="http://schemas.openxmlformats.org/officeDocument/2006/relationships/hyperlink" Target="https://www.google.com/maps/search/?api=1&amp;query=Irving%20Big%20Stop%20%28New%20Minas%29%2C%205477%20Prospect%20Rd%2C%20New%20Minas%2C%20NS%20B4N%203K9" TargetMode="External"/><Relationship Id="rId100" Type="http://schemas.openxmlformats.org/officeDocument/2006/relationships/hyperlink" Target="https://www.google.com/maps/search/?api=1&amp;query=Bumper%20to%20Bumper%20Auto%20Parts%2C%205494%20Prospect%20Rd%2C%20New%20Minas%2C%20NS" TargetMode="External"/><Relationship Id="rId101" Type="http://schemas.openxmlformats.org/officeDocument/2006/relationships/hyperlink" Target="https://www.google.com/maps/search/?api=1&amp;query=Slumber%20Inn%2C%205534%20Prospect%20Rd%2C%20New%20Minas%2C%20NS" TargetMode="External"/><Relationship Id="rId102" Type="http://schemas.openxmlformats.org/officeDocument/2006/relationships/hyperlink" Target="https://www.google.com/maps/search/?api=1&amp;query=Cumin%20Kitchen%20and%20Drink%2C%2021%20Roy%20Ave%2C%20New%20Minas%2C%20NS%20B4N%203R7" TargetMode="External"/><Relationship Id="rId103" Type="http://schemas.openxmlformats.org/officeDocument/2006/relationships/hyperlink" Target="https://www.google.com/maps/search/?api=1&amp;query=The%20Home%20Depot%2C%2021%20Silver%20Fox%20Ave%2C%20New%20Minas%2C%20NS" TargetMode="External"/><Relationship Id="rId104" Type="http://schemas.openxmlformats.org/officeDocument/2006/relationships/hyperlink" Target="https://www.google.com/maps/search/?api=1&amp;query=Annapolis%20Home%20Hardware%20Building%20Centre%2C%20132%20St%20Anthony%20St%2C%20Annapolis%20Royal%2C%20NS%20B0S%201A0" TargetMode="External"/><Relationship Id="rId105" Type="http://schemas.openxmlformats.org/officeDocument/2006/relationships/hyperlink" Target="https://www.google.com/maps/search/?api=1&amp;query=ARCH%20%26%20PO%2C%20200%20St%20George%20St%2C%20Annapolis%20Royal%2C%20NS%20B0S%201A0" TargetMode="External"/><Relationship Id="rId106" Type="http://schemas.openxmlformats.org/officeDocument/2006/relationships/hyperlink" Target="https://www.google.com/maps/search/?api=1&amp;query=Lazy%20Daisy%20Caf&#233;%2C%20220%20St%20George%20St%2C%20Annapolis%20Royal%2C%20NS%20B0S%201A0" TargetMode="External"/><Relationship Id="rId107" Type="http://schemas.openxmlformats.org/officeDocument/2006/relationships/hyperlink" Target="https://www.google.com/maps/search/?api=1&amp;query=Fort%20Anne%20Cafe%2C%20298%20St%20George%20St%2C%20Annapolis%20Royal%2C%20NS%20B0S%200B3" TargetMode="External"/><Relationship Id="rId108" Type="http://schemas.openxmlformats.org/officeDocument/2006/relationships/hyperlink" Target="https://www.google.com/maps/search/?api=1&amp;query=Annapolis%20Royal%20Visitor%20Information%20Centre%2C%20441%20St%20George%20St%2C%20Annapolis%20Royal%2C%20NS%20B0S%200A8" TargetMode="External"/><Relationship Id="rId109" Type="http://schemas.openxmlformats.org/officeDocument/2006/relationships/hyperlink" Target="https://www.google.com/maps/search/?api=1&amp;query=Green%20Elephant%20Caf&#233;%2C%20687%20Main%20St%2C%20Kingston%2C%20NS%20B0P%200A1" TargetMode="External"/><Relationship Id="rId110" Type="http://schemas.openxmlformats.org/officeDocument/2006/relationships/hyperlink" Target="https://www.google.com/maps/search/?api=1&amp;query=Dempsey%20Corner%20Orchards%2C%202717%20NS-221%2C%20Aylesford%2C%20NS" TargetMode="External"/><Relationship Id="rId111" Type="http://schemas.openxmlformats.org/officeDocument/2006/relationships/hyperlink" Target="https://www.google.com/maps/search/?api=1&amp;query=Berwick%20Home%20Hardware%20Building%20Centre%2C%20155%20Commercial%20St%2C%20Berwick%2C%20NS%20B0P%200A5" TargetMode="External"/><Relationship Id="rId112" Type="http://schemas.openxmlformats.org/officeDocument/2006/relationships/hyperlink" Target="https://www.google.com/maps/search/?api=1&amp;query=North%20Mountain%20Fine%20Coffees%2C%20210%20Commercial%20St%2C%20Berwick%2C%20NS%20B0P%201E0" TargetMode="External"/><Relationship Id="rId113" Type="http://schemas.openxmlformats.org/officeDocument/2006/relationships/hyperlink" Target="https://www.google.com/maps/search/?api=1&amp;query=Foodland%20Berwick%2C%20223%20Commercial%20St%2C%20Berwick%2C%20NS" TargetMode="External"/><Relationship Id="rId114" Type="http://schemas.openxmlformats.org/officeDocument/2006/relationships/hyperlink" Target="https://www.google.com/maps/search/?api=1&amp;query=Feeds%27n%20Needs%2C%20229%20Commercial%20St%2C%20Berwick%2C%20NS" TargetMode="External"/><Relationship Id="rId115" Type="http://schemas.openxmlformats.org/officeDocument/2006/relationships/hyperlink" Target="https://www.google.com/maps/search/?api=1&amp;query=Berwick%20and%20District%20Library%2C%20236%20Commercial%20St%2C%20Berwick%2C%20NS%20B0P%201E0" TargetMode="External"/><Relationship Id="rId116" Type="http://schemas.openxmlformats.org/officeDocument/2006/relationships/hyperlink" Target="https://www.google.com/maps/search/?api=1&amp;query=Wheaton%27s%20Cider%20Press%20Cafe%2C%20301%20Commercial%20St%2C%20Berwick%2C%20NS%20B0P%201E0" TargetMode="External"/><Relationship Id="rId117" Type="http://schemas.openxmlformats.org/officeDocument/2006/relationships/hyperlink" Target="https://www.google.com/maps/search/?api=1&amp;query=Cambridge%20Construction%20Rentals%2C%205660%20Evangeline%20Trl%2C%20Cambridge%2C%20NS%20B0P%201G0" TargetMode="External"/><Relationship Id="rId118" Type="http://schemas.openxmlformats.org/officeDocument/2006/relationships/hyperlink" Target="https://www.google.com/maps/search/?api=1&amp;query=Cambridge%20Community%20Centre%2C%205961%20Hwy%201%2C%20Cambridge%2C%20NS" TargetMode="External"/><Relationship Id="rId119" Type="http://schemas.openxmlformats.org/officeDocument/2006/relationships/hyperlink" Target="https://www.google.com/maps/search/?api=1&amp;query=Sourdough%20Country%20Bakery%20and%20Windmill%20Cafe%2C%205673%20Nova%20Scotia%20Trunk%201%2C%20Cambridge%2C%20NS%20B0P%201G0" TargetMode="External"/><Relationship Id="rId120" Type="http://schemas.openxmlformats.org/officeDocument/2006/relationships/hyperlink" Target="https://www.google.com/maps/search/?api=1&amp;query=Woodville%20Community%20Centre%2C%20342%20Bligh%20Rd%2C%20Woodville%2C%20NS" TargetMode="External"/><Relationship Id="rId121" Type="http://schemas.openxmlformats.org/officeDocument/2006/relationships/hyperlink" Target="https://www.google.com/maps/search/?api=1&amp;query=Baked%20Inn%20Homemade%2C%20940%20Parkview%20Dr%2C%20Centreville%2C%20NS%20B0P%201J0" TargetMode="External"/><Relationship Id="rId122" Type="http://schemas.openxmlformats.org/officeDocument/2006/relationships/hyperlink" Target="https://www.google.com/maps/search/?api=1&amp;query=Maple%20Leaf%20Home%20Hardware%2C%209767%20Main%20St%2C%20Canning%2C%20NS" TargetMode="External"/><Relationship Id="rId123" Type="http://schemas.openxmlformats.org/officeDocument/2006/relationships/hyperlink" Target="https://www.google.com/maps/search/?api=1&amp;query=The%20Village%20Coffeehouse%2C%209844%20Main%20St%2C%20Canning%2C%20NS%20B0P%201H0" TargetMode="External"/><Relationship Id="rId124" Type="http://schemas.openxmlformats.org/officeDocument/2006/relationships/hyperlink" Target="https://www.google.com/maps/search/?api=1&amp;query=Art%20Can%20Kitchen%20and%20Studios%2C%209850%20Main%20St%2C%20Canning%2C%20NS%20B0P%201H0" TargetMode="External"/><Relationship Id="rId125" Type="http://schemas.openxmlformats.org/officeDocument/2006/relationships/hyperlink" Target="https://www.google.com/maps/search/?api=1&amp;query=The%20Border%20Diner%20%26%20Grill%2C%2013991%20Nova%20Scotia%20Trunk%201%2C%20Hantsport%2C%20NS%20B0P%201P0" TargetMode="External"/><Relationship Id="rId126" Type="http://schemas.openxmlformats.org/officeDocument/2006/relationships/hyperlink" Target="https://www.google.com/maps/search/?api=1&amp;query=Windsor%20Regional%20Library%2C%20195%20Albert%20St%2C%20Windsor%2C%20NS" TargetMode="External"/><Relationship Id="rId127" Type="http://schemas.openxmlformats.org/officeDocument/2006/relationships/hyperlink" Target="https://www.google.com/maps/search/?api=1&amp;query=Gerrish%20%26%20Gray%20Cafe%2C%20134%20Gerrish%20St%2C%20Windsor%2C%20NS%20B0N%202T0" TargetMode="External"/><Relationship Id="rId128" Type="http://schemas.openxmlformats.org/officeDocument/2006/relationships/hyperlink" Target="https://www.google.com/maps/search/?api=1&amp;query=Rockin%27%20Rogi%20Diner%2C%20101%20Commercial%20St%2C%20Middleton%2C%20NS%20B0S%201P0" TargetMode="External"/><Relationship Id="rId129" Type="http://schemas.openxmlformats.org/officeDocument/2006/relationships/hyperlink" Target="https://www.google.com/maps/search/?api=1&amp;query=Kentville%20Farmers%20Market%2C%20Centre%20Square%2C%20Kentville%2C%20NS%20B4N%201G9" TargetMode="External"/><Relationship Id="rId130" Type="http://schemas.openxmlformats.org/officeDocument/2006/relationships/hyperlink" Target="https://www.google.com/maps/search/?api=1&amp;query=Expedition%20Coffee%20Roasters%2C%201813%20Hwy%201%2C%20Falmouth%2C%20NS" TargetMode="External"/><Relationship Id="rId13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4" min="2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3" t="s">
        <v>6</v>
      </c>
      <c r="B5" s="3" t="n">
        <f aca="false">COUNTIF('Master route'!$B$5:$B$142,"1")</f>
        <v>28</v>
      </c>
      <c r="C5" s="3" t="n">
        <f aca="false">COUNTIFS('Master route'!$B$5:$B$142,"1",'Master route'!$P$5:$P$142,"Y")</f>
        <v>0</v>
      </c>
      <c r="D5" s="3" t="n">
        <f aca="false">COUNTIFS('Master route'!$B$5:$B$142,"1",'Master route'!$G$5:$G$142,1)</f>
        <v>17</v>
      </c>
    </row>
    <row r="6" customFormat="false" ht="15" hidden="false" customHeight="true" outlineLevel="0" collapsed="false">
      <c r="A6" s="3" t="s">
        <v>7</v>
      </c>
      <c r="B6" s="3" t="n">
        <f aca="false">COUNTIF('Master route'!$B$5:$B$142,"2")</f>
        <v>31</v>
      </c>
      <c r="C6" s="3" t="n">
        <f aca="false">COUNTIFS('Master route'!$B$5:$B$142,"2",'Master route'!$P$5:$P$142,"Y")</f>
        <v>0</v>
      </c>
      <c r="D6" s="3" t="n">
        <f aca="false">COUNTIFS('Master route'!$B$5:$B$142,"2",'Master route'!$G$5:$G$142,1)</f>
        <v>14</v>
      </c>
    </row>
    <row r="7" customFormat="false" ht="15" hidden="false" customHeight="true" outlineLevel="0" collapsed="false">
      <c r="A7" s="3" t="s">
        <v>8</v>
      </c>
      <c r="B7" s="3" t="n">
        <f aca="false">COUNTIF('Master route'!$B$5:$B$142,"3")</f>
        <v>21</v>
      </c>
      <c r="C7" s="3" t="n">
        <f aca="false">COUNTIFS('Master route'!$B$5:$B$142,"3",'Master route'!$P$5:$P$142,"Y")</f>
        <v>0</v>
      </c>
      <c r="D7" s="3" t="n">
        <f aca="false">COUNTIFS('Master route'!$B$5:$B$142,"3",'Master route'!$G$5:$G$142,1)</f>
        <v>15</v>
      </c>
    </row>
    <row r="8" customFormat="false" ht="15" hidden="false" customHeight="true" outlineLevel="0" collapsed="false">
      <c r="A8" s="3" t="s">
        <v>9</v>
      </c>
      <c r="B8" s="3" t="n">
        <f aca="false">COUNTIF('Master route'!$B$5:$B$142,"4")</f>
        <v>23</v>
      </c>
      <c r="C8" s="3" t="n">
        <f aca="false">COUNTIFS('Master route'!$B$5:$B$142,"4",'Master route'!$P$5:$P$142,"Y")</f>
        <v>0</v>
      </c>
      <c r="D8" s="3" t="n">
        <f aca="false">COUNTIFS('Master route'!$B$5:$B$142,"4",'Master route'!$G$5:$G$142,1)</f>
        <v>12</v>
      </c>
    </row>
    <row r="9" customFormat="false" ht="15" hidden="false" customHeight="true" outlineLevel="0" collapsed="false">
      <c r="A9" s="3" t="s">
        <v>10</v>
      </c>
      <c r="B9" s="3" t="n">
        <f aca="false">COUNTIF('Master route'!$B$5:$B$142,"5")</f>
        <v>21</v>
      </c>
      <c r="C9" s="3" t="n">
        <f aca="false">COUNTIFS('Master route'!$B$5:$B$142,"5",'Master route'!$P$5:$P$142,"Y")</f>
        <v>0</v>
      </c>
      <c r="D9" s="3" t="n">
        <f aca="false">COUNTIFS('Master route'!$B$5:$B$142,"5",'Master route'!$G$5:$G$142,1)</f>
        <v>0</v>
      </c>
    </row>
    <row r="10" customFormat="false" ht="15" hidden="false" customHeight="true" outlineLevel="0" collapsed="false">
      <c r="A10" s="3" t="s">
        <v>11</v>
      </c>
      <c r="B10" s="3" t="n">
        <f aca="false">COUNTIF('Master route'!$B$5:$B$142,"5b")</f>
        <v>3</v>
      </c>
      <c r="C10" s="3" t="n">
        <f aca="false">COUNTIFS('Master route'!$B$5:$B$142,"5b",'Master route'!$P$5:$P$142,"Y")</f>
        <v>0</v>
      </c>
      <c r="D10" s="3" t="n">
        <f aca="false">COUNTIFS('Master route'!$B$5:$B$142,"5b",'Master route'!$G$5:$G$142,1)</f>
        <v>0</v>
      </c>
    </row>
    <row r="11" customFormat="false" ht="15" hidden="false" customHeight="true" outlineLevel="0" collapsed="false">
      <c r="A11" s="3" t="s">
        <v>12</v>
      </c>
      <c r="B11" s="3" t="n">
        <f aca="false">COUNTIF('Master route'!$B$5:$B$142,"6")</f>
        <v>4</v>
      </c>
      <c r="C11" s="3" t="n">
        <f aca="false">COUNTIFS('Master route'!$B$5:$B$142,"6",'Master route'!$P$5:$P$142,"Y")</f>
        <v>0</v>
      </c>
      <c r="D11" s="3" t="n">
        <f aca="false">COUNTIFS('Master route'!$B$5:$B$142,"6",'Master route'!$G$5:$G$142,1)</f>
        <v>2</v>
      </c>
    </row>
    <row r="12" customFormat="false" ht="15" hidden="false" customHeight="true" outlineLevel="0" collapsed="false">
      <c r="A12" s="5" t="s">
        <v>13</v>
      </c>
      <c r="B12" s="5" t="n">
        <f aca="false">SUM(B5:B11)</f>
        <v>131</v>
      </c>
      <c r="C12" s="5" t="n">
        <f aca="false">SUM(C5:C11)</f>
        <v>0</v>
      </c>
      <c r="D12" s="5" t="n">
        <f aca="false">SUM(D5:D11)</f>
        <v>60</v>
      </c>
    </row>
    <row r="13" customFormat="false" ht="15" hidden="false" customHeight="true" outlineLevel="0" collapsed="false">
      <c r="A13" s="3" t="s">
        <v>14</v>
      </c>
      <c r="B13" s="3" t="n">
        <f aca="false">COUNTA('Mail from home'!C5:C100)</f>
        <v>34</v>
      </c>
      <c r="C13" s="3" t="n">
        <f aca="false">COUNTA('Mail from home'!J5:J100)</f>
        <v>0</v>
      </c>
    </row>
    <row r="15" customFormat="false" ht="15" hidden="false" customHeight="true" outlineLevel="0" collapsed="false">
      <c r="A15" s="6" t="s">
        <v>15</v>
      </c>
    </row>
    <row r="16" customFormat="false" ht="23.25" hidden="false" customHeight="true" outlineLevel="0" collapsed="false">
      <c r="A16" s="7" t="s">
        <v>16</v>
      </c>
    </row>
    <row r="17" customFormat="false" ht="23.25" hidden="false" customHeight="true" outlineLevel="0" collapsed="false">
      <c r="A17" s="7" t="s">
        <v>17</v>
      </c>
    </row>
    <row r="18" customFormat="false" ht="23.25" hidden="false" customHeight="true" outlineLevel="0" collapsed="false">
      <c r="A18" s="7" t="s">
        <v>18</v>
      </c>
    </row>
    <row r="19" customFormat="false" ht="23.25" hidden="false" customHeight="true" outlineLevel="0" collapsed="false">
      <c r="A19" s="7" t="s">
        <v>19</v>
      </c>
    </row>
    <row r="20" customFormat="false" ht="23.25" hidden="false" customHeight="true" outlineLevel="0" collapsed="false">
      <c r="A20" s="7" t="s">
        <v>20</v>
      </c>
    </row>
    <row r="21" customFormat="false" ht="15" hidden="false" customHeight="true" outlineLevel="0" collapsed="false">
      <c r="A21" s="7"/>
    </row>
    <row r="22" customFormat="false" ht="15" hidden="false" customHeight="true" outlineLevel="0" collapsed="false">
      <c r="A22" s="6" t="s">
        <v>21</v>
      </c>
    </row>
    <row r="23" customFormat="false" ht="23.25" hidden="false" customHeight="true" outlineLevel="0" collapsed="false">
      <c r="A23" s="7" t="s">
        <v>22</v>
      </c>
    </row>
    <row r="24" customFormat="false" ht="23.25" hidden="false" customHeight="true" outlineLevel="0" collapsed="false">
      <c r="A24" s="7" t="s">
        <v>23</v>
      </c>
    </row>
    <row r="25" customFormat="false" ht="23.25" hidden="false" customHeight="true" outlineLevel="0" collapsed="false">
      <c r="A25" s="7" t="s">
        <v>24</v>
      </c>
    </row>
    <row r="26" customFormat="false" ht="23.25" hidden="false" customHeight="true" outlineLevel="0" collapsed="false">
      <c r="A26" s="7" t="s">
        <v>25</v>
      </c>
    </row>
    <row r="27" customFormat="false" ht="23.25" hidden="false" customHeight="true" outlineLevel="0" collapsed="false">
      <c r="A27" s="7" t="s">
        <v>26</v>
      </c>
    </row>
    <row r="28" customFormat="false" ht="15" hidden="false" customHeight="true" outlineLevel="0" collapsed="false">
      <c r="A28" s="7"/>
    </row>
    <row r="29" customFormat="false" ht="34.5" hidden="false" customHeight="true" outlineLevel="0" collapsed="false">
      <c r="A29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26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30"/>
    <col collapsed="false" customWidth="true" hidden="false" outlineLevel="0" max="11" min="11" style="1" width="26"/>
    <col collapsed="false" customWidth="true" hidden="false" outlineLevel="0" max="12" min="12" style="1" width="30"/>
    <col collapsed="false" customWidth="true" hidden="false" outlineLevel="0" max="13" min="13" style="1" width="60"/>
    <col collapsed="false" customWidth="true" hidden="false" outlineLevel="0" max="14" min="14" style="1" width="36"/>
    <col collapsed="false" customWidth="true" hidden="false" outlineLevel="0" max="15" min="15" style="1" width="8"/>
    <col collapsed="false" customWidth="true" hidden="false" outlineLevel="0" max="16" min="16" style="1" width="9"/>
  </cols>
  <sheetData>
    <row r="1" customFormat="false" ht="17.25" hidden="false" customHeight="true" outlineLevel="0" collapsed="false">
      <c r="A1" s="2" t="s">
        <v>28</v>
      </c>
    </row>
    <row r="2" customFormat="false" ht="15" hidden="false" customHeight="true" outlineLevel="0" collapsed="false">
      <c r="A2" s="3" t="s">
        <v>29</v>
      </c>
    </row>
    <row r="3" customFormat="false" ht="15" hidden="false" customHeight="true" outlineLevel="0" collapsed="false">
      <c r="M3" s="8" t="s">
        <v>30</v>
      </c>
      <c r="N3" s="5" t="str">
        <f aca="false">COUNTIF(P5:P142,"Y")&amp;" of "&amp;COUNT(A5:A142)</f>
        <v>0 of 131</v>
      </c>
    </row>
    <row r="4" customFormat="false" ht="15" hidden="false" customHeight="true" outlineLevel="0" collapsed="false">
      <c r="A4" s="9" t="s">
        <v>31</v>
      </c>
      <c r="B4" s="9" t="s">
        <v>2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  <c r="I4" s="9" t="s">
        <v>38</v>
      </c>
      <c r="J4" s="9" t="s">
        <v>39</v>
      </c>
      <c r="K4" s="9" t="s">
        <v>40</v>
      </c>
      <c r="L4" s="9" t="s">
        <v>41</v>
      </c>
      <c r="M4" s="9" t="s">
        <v>42</v>
      </c>
      <c r="N4" s="9" t="s">
        <v>43</v>
      </c>
      <c r="O4" s="9" t="s">
        <v>44</v>
      </c>
      <c r="P4" s="9" t="s">
        <v>45</v>
      </c>
    </row>
    <row r="5" customFormat="false" ht="15" hidden="false" customHeight="true" outlineLevel="0" collapsed="false">
      <c r="A5" s="10" t="s">
        <v>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customFormat="false" ht="23.25" hidden="false" customHeight="true" outlineLevel="0" collapsed="false">
      <c r="A6" s="12" t="n">
        <v>1</v>
      </c>
      <c r="B6" s="12" t="s">
        <v>46</v>
      </c>
      <c r="C6" s="12" t="s">
        <v>47</v>
      </c>
      <c r="D6" s="12" t="s">
        <v>48</v>
      </c>
      <c r="E6" s="12" t="s">
        <v>49</v>
      </c>
      <c r="F6" s="12"/>
      <c r="G6" s="12" t="n">
        <v>1</v>
      </c>
      <c r="H6" s="12" t="s">
        <v>50</v>
      </c>
      <c r="I6" s="12"/>
      <c r="J6" s="12"/>
      <c r="K6" s="12" t="s">
        <v>51</v>
      </c>
      <c r="L6" s="12"/>
      <c r="M6" s="12" t="s">
        <v>52</v>
      </c>
      <c r="N6" s="12" t="s">
        <v>53</v>
      </c>
      <c r="O6" s="13" t="s">
        <v>54</v>
      </c>
      <c r="P6" s="14"/>
    </row>
    <row r="7" customFormat="false" ht="23.25" hidden="false" customHeight="true" outlineLevel="0" collapsed="false">
      <c r="A7" s="12" t="n">
        <v>2</v>
      </c>
      <c r="B7" s="12" t="s">
        <v>46</v>
      </c>
      <c r="C7" s="12" t="s">
        <v>47</v>
      </c>
      <c r="D7" s="12" t="s">
        <v>55</v>
      </c>
      <c r="E7" s="12" t="s">
        <v>56</v>
      </c>
      <c r="F7" s="12"/>
      <c r="G7" s="12" t="n">
        <v>1</v>
      </c>
      <c r="H7" s="12" t="s">
        <v>50</v>
      </c>
      <c r="I7" s="12"/>
      <c r="J7" s="12"/>
      <c r="K7" s="12" t="s">
        <v>51</v>
      </c>
      <c r="L7" s="12"/>
      <c r="M7" s="12" t="s">
        <v>57</v>
      </c>
      <c r="N7" s="12" t="s">
        <v>58</v>
      </c>
      <c r="O7" s="13" t="s">
        <v>54</v>
      </c>
      <c r="P7" s="14"/>
    </row>
    <row r="8" customFormat="false" ht="23.25" hidden="false" customHeight="true" outlineLevel="0" collapsed="false">
      <c r="A8" s="12" t="n">
        <v>3</v>
      </c>
      <c r="B8" s="12" t="s">
        <v>46</v>
      </c>
      <c r="C8" s="12" t="s">
        <v>47</v>
      </c>
      <c r="D8" s="12" t="s">
        <v>59</v>
      </c>
      <c r="E8" s="12" t="s">
        <v>60</v>
      </c>
      <c r="F8" s="12" t="s">
        <v>61</v>
      </c>
      <c r="G8" s="12" t="n">
        <v>2</v>
      </c>
      <c r="H8" s="12" t="s">
        <v>50</v>
      </c>
      <c r="I8" s="12"/>
      <c r="J8" s="12"/>
      <c r="K8" s="12" t="s">
        <v>62</v>
      </c>
      <c r="L8" s="12"/>
      <c r="M8" s="12" t="s">
        <v>63</v>
      </c>
      <c r="N8" s="12"/>
      <c r="O8" s="13" t="s">
        <v>54</v>
      </c>
      <c r="P8" s="14"/>
    </row>
    <row r="9" customFormat="false" ht="23.25" hidden="false" customHeight="true" outlineLevel="0" collapsed="false">
      <c r="A9" s="12" t="n">
        <v>4</v>
      </c>
      <c r="B9" s="12" t="s">
        <v>46</v>
      </c>
      <c r="C9" s="12" t="s">
        <v>47</v>
      </c>
      <c r="D9" s="12" t="s">
        <v>64</v>
      </c>
      <c r="E9" s="12" t="s">
        <v>65</v>
      </c>
      <c r="F9" s="12" t="s">
        <v>61</v>
      </c>
      <c r="G9" s="12" t="n">
        <v>2</v>
      </c>
      <c r="H9" s="12" t="s">
        <v>50</v>
      </c>
      <c r="I9" s="12"/>
      <c r="J9" s="12"/>
      <c r="K9" s="12" t="s">
        <v>62</v>
      </c>
      <c r="L9" s="12"/>
      <c r="M9" s="12" t="s">
        <v>63</v>
      </c>
      <c r="N9" s="12"/>
      <c r="O9" s="13" t="s">
        <v>54</v>
      </c>
      <c r="P9" s="14"/>
    </row>
    <row r="10" customFormat="false" ht="34.5" hidden="false" customHeight="true" outlineLevel="0" collapsed="false">
      <c r="A10" s="12" t="n">
        <v>5</v>
      </c>
      <c r="B10" s="12" t="s">
        <v>46</v>
      </c>
      <c r="C10" s="12" t="s">
        <v>47</v>
      </c>
      <c r="D10" s="12" t="s">
        <v>66</v>
      </c>
      <c r="E10" s="12" t="s">
        <v>67</v>
      </c>
      <c r="F10" s="12" t="s">
        <v>68</v>
      </c>
      <c r="G10" s="12" t="n">
        <v>1</v>
      </c>
      <c r="H10" s="12" t="s">
        <v>69</v>
      </c>
      <c r="I10" s="12" t="s">
        <v>70</v>
      </c>
      <c r="J10" s="12"/>
      <c r="K10" s="12" t="s">
        <v>71</v>
      </c>
      <c r="L10" s="12"/>
      <c r="M10" s="12" t="s">
        <v>72</v>
      </c>
      <c r="N10" s="12" t="s">
        <v>73</v>
      </c>
      <c r="O10" s="13" t="s">
        <v>54</v>
      </c>
      <c r="P10" s="14"/>
    </row>
    <row r="11" customFormat="false" ht="23.25" hidden="false" customHeight="true" outlineLevel="0" collapsed="false">
      <c r="A11" s="12" t="n">
        <v>6</v>
      </c>
      <c r="B11" s="12" t="s">
        <v>46</v>
      </c>
      <c r="C11" s="12" t="s">
        <v>47</v>
      </c>
      <c r="D11" s="12" t="s">
        <v>74</v>
      </c>
      <c r="E11" s="12" t="s">
        <v>75</v>
      </c>
      <c r="F11" s="12" t="s">
        <v>68</v>
      </c>
      <c r="G11" s="12" t="n">
        <v>3</v>
      </c>
      <c r="H11" s="12" t="s">
        <v>76</v>
      </c>
      <c r="I11" s="12"/>
      <c r="J11" s="12" t="s">
        <v>77</v>
      </c>
      <c r="K11" s="12"/>
      <c r="L11" s="12"/>
      <c r="M11" s="12" t="s">
        <v>78</v>
      </c>
      <c r="N11" s="12"/>
      <c r="O11" s="13" t="s">
        <v>54</v>
      </c>
      <c r="P11" s="14"/>
    </row>
    <row r="12" customFormat="false" ht="23.25" hidden="false" customHeight="true" outlineLevel="0" collapsed="false">
      <c r="A12" s="12" t="n">
        <v>7</v>
      </c>
      <c r="B12" s="12" t="s">
        <v>46</v>
      </c>
      <c r="C12" s="12" t="s">
        <v>47</v>
      </c>
      <c r="D12" s="12" t="s">
        <v>79</v>
      </c>
      <c r="E12" s="12" t="s">
        <v>80</v>
      </c>
      <c r="F12" s="12" t="s">
        <v>81</v>
      </c>
      <c r="G12" s="12" t="n">
        <v>2</v>
      </c>
      <c r="H12" s="12" t="s">
        <v>50</v>
      </c>
      <c r="I12" s="12"/>
      <c r="J12" s="12"/>
      <c r="K12" s="12" t="s">
        <v>82</v>
      </c>
      <c r="L12" s="12"/>
      <c r="M12" s="12" t="s">
        <v>83</v>
      </c>
      <c r="N12" s="12"/>
      <c r="O12" s="13" t="s">
        <v>54</v>
      </c>
      <c r="P12" s="14"/>
    </row>
    <row r="13" customFormat="false" ht="23.25" hidden="false" customHeight="true" outlineLevel="0" collapsed="false">
      <c r="A13" s="12" t="n">
        <v>8</v>
      </c>
      <c r="B13" s="12" t="s">
        <v>46</v>
      </c>
      <c r="C13" s="12" t="s">
        <v>47</v>
      </c>
      <c r="D13" s="12" t="s">
        <v>84</v>
      </c>
      <c r="E13" s="12" t="s">
        <v>85</v>
      </c>
      <c r="F13" s="12" t="s">
        <v>86</v>
      </c>
      <c r="G13" s="12" t="n">
        <v>3</v>
      </c>
      <c r="H13" s="12" t="s">
        <v>76</v>
      </c>
      <c r="I13" s="12"/>
      <c r="J13" s="12" t="s">
        <v>77</v>
      </c>
      <c r="K13" s="12"/>
      <c r="L13" s="12"/>
      <c r="M13" s="12" t="s">
        <v>78</v>
      </c>
      <c r="N13" s="12"/>
      <c r="O13" s="13" t="s">
        <v>54</v>
      </c>
      <c r="P13" s="14"/>
    </row>
    <row r="14" customFormat="false" ht="23.25" hidden="false" customHeight="true" outlineLevel="0" collapsed="false">
      <c r="A14" s="12" t="n">
        <v>9</v>
      </c>
      <c r="B14" s="12" t="s">
        <v>46</v>
      </c>
      <c r="C14" s="12" t="s">
        <v>47</v>
      </c>
      <c r="D14" s="12" t="s">
        <v>87</v>
      </c>
      <c r="E14" s="12" t="s">
        <v>88</v>
      </c>
      <c r="F14" s="12" t="s">
        <v>89</v>
      </c>
      <c r="G14" s="12" t="n">
        <v>1</v>
      </c>
      <c r="H14" s="12" t="s">
        <v>50</v>
      </c>
      <c r="I14" s="12"/>
      <c r="J14" s="12"/>
      <c r="K14" s="12" t="s">
        <v>71</v>
      </c>
      <c r="L14" s="12"/>
      <c r="M14" s="12" t="s">
        <v>90</v>
      </c>
      <c r="N14" s="12"/>
      <c r="O14" s="13" t="s">
        <v>54</v>
      </c>
      <c r="P14" s="14"/>
    </row>
    <row r="15" customFormat="false" ht="23.25" hidden="false" customHeight="true" outlineLevel="0" collapsed="false">
      <c r="A15" s="12" t="n">
        <v>10</v>
      </c>
      <c r="B15" s="12" t="s">
        <v>46</v>
      </c>
      <c r="C15" s="12" t="s">
        <v>47</v>
      </c>
      <c r="D15" s="12" t="s">
        <v>91</v>
      </c>
      <c r="E15" s="12" t="s">
        <v>92</v>
      </c>
      <c r="F15" s="12" t="s">
        <v>93</v>
      </c>
      <c r="G15" s="12" t="n">
        <v>3</v>
      </c>
      <c r="H15" s="12" t="s">
        <v>50</v>
      </c>
      <c r="I15" s="12"/>
      <c r="J15" s="12"/>
      <c r="K15" s="12" t="s">
        <v>94</v>
      </c>
      <c r="L15" s="12"/>
      <c r="M15" s="12" t="s">
        <v>95</v>
      </c>
      <c r="N15" s="12"/>
      <c r="O15" s="13" t="s">
        <v>54</v>
      </c>
      <c r="P15" s="14"/>
    </row>
    <row r="16" customFormat="false" ht="45.75" hidden="false" customHeight="true" outlineLevel="0" collapsed="false">
      <c r="A16" s="12" t="n">
        <v>11</v>
      </c>
      <c r="B16" s="12" t="s">
        <v>46</v>
      </c>
      <c r="C16" s="12" t="s">
        <v>47</v>
      </c>
      <c r="D16" s="12" t="s">
        <v>96</v>
      </c>
      <c r="E16" s="12" t="s">
        <v>97</v>
      </c>
      <c r="F16" s="12" t="s">
        <v>86</v>
      </c>
      <c r="G16" s="12" t="n">
        <v>1</v>
      </c>
      <c r="H16" s="12" t="s">
        <v>98</v>
      </c>
      <c r="I16" s="12" t="s">
        <v>70</v>
      </c>
      <c r="J16" s="12" t="s">
        <v>99</v>
      </c>
      <c r="K16" s="12" t="s">
        <v>71</v>
      </c>
      <c r="L16" s="12"/>
      <c r="M16" s="12" t="s">
        <v>100</v>
      </c>
      <c r="N16" s="12" t="s">
        <v>101</v>
      </c>
      <c r="O16" s="13" t="s">
        <v>54</v>
      </c>
      <c r="P16" s="14"/>
    </row>
    <row r="17" customFormat="false" ht="45.75" hidden="false" customHeight="true" outlineLevel="0" collapsed="false">
      <c r="A17" s="12" t="n">
        <v>12</v>
      </c>
      <c r="B17" s="12" t="s">
        <v>46</v>
      </c>
      <c r="C17" s="12" t="s">
        <v>47</v>
      </c>
      <c r="D17" s="12" t="s">
        <v>102</v>
      </c>
      <c r="E17" s="12" t="s">
        <v>97</v>
      </c>
      <c r="F17" s="12" t="s">
        <v>86</v>
      </c>
      <c r="G17" s="12" t="n">
        <v>1</v>
      </c>
      <c r="H17" s="12" t="s">
        <v>98</v>
      </c>
      <c r="I17" s="12" t="s">
        <v>103</v>
      </c>
      <c r="J17" s="12" t="s">
        <v>104</v>
      </c>
      <c r="K17" s="12" t="s">
        <v>71</v>
      </c>
      <c r="L17" s="12"/>
      <c r="M17" s="12" t="s">
        <v>105</v>
      </c>
      <c r="N17" s="12"/>
      <c r="O17" s="13" t="s">
        <v>54</v>
      </c>
      <c r="P17" s="14"/>
    </row>
    <row r="18" customFormat="false" ht="45.75" hidden="false" customHeight="true" outlineLevel="0" collapsed="false">
      <c r="A18" s="12" t="n">
        <v>13</v>
      </c>
      <c r="B18" s="12" t="s">
        <v>46</v>
      </c>
      <c r="C18" s="12" t="s">
        <v>47</v>
      </c>
      <c r="D18" s="12" t="s">
        <v>106</v>
      </c>
      <c r="E18" s="12" t="s">
        <v>97</v>
      </c>
      <c r="F18" s="12" t="s">
        <v>107</v>
      </c>
      <c r="G18" s="12" t="n">
        <v>1</v>
      </c>
      <c r="H18" s="12" t="s">
        <v>98</v>
      </c>
      <c r="I18" s="12" t="s">
        <v>103</v>
      </c>
      <c r="J18" s="12" t="s">
        <v>104</v>
      </c>
      <c r="K18" s="12" t="s">
        <v>108</v>
      </c>
      <c r="L18" s="12"/>
      <c r="M18" s="12" t="s">
        <v>109</v>
      </c>
      <c r="N18" s="12" t="s">
        <v>110</v>
      </c>
      <c r="O18" s="13" t="s">
        <v>54</v>
      </c>
      <c r="P18" s="14"/>
    </row>
    <row r="19" customFormat="false" ht="23.25" hidden="false" customHeight="true" outlineLevel="0" collapsed="false">
      <c r="A19" s="12" t="n">
        <v>14</v>
      </c>
      <c r="B19" s="12" t="s">
        <v>46</v>
      </c>
      <c r="C19" s="12" t="s">
        <v>47</v>
      </c>
      <c r="D19" s="12" t="s">
        <v>111</v>
      </c>
      <c r="E19" s="12" t="s">
        <v>97</v>
      </c>
      <c r="F19" s="12" t="s">
        <v>61</v>
      </c>
      <c r="G19" s="12" t="n">
        <v>1</v>
      </c>
      <c r="H19" s="12" t="s">
        <v>50</v>
      </c>
      <c r="I19" s="12"/>
      <c r="J19" s="12"/>
      <c r="K19" s="12" t="s">
        <v>71</v>
      </c>
      <c r="L19" s="12"/>
      <c r="M19" s="12" t="s">
        <v>112</v>
      </c>
      <c r="N19" s="12"/>
      <c r="O19" s="13" t="s">
        <v>54</v>
      </c>
      <c r="P19" s="14"/>
    </row>
    <row r="20" customFormat="false" ht="45.75" hidden="false" customHeight="true" outlineLevel="0" collapsed="false">
      <c r="A20" s="12" t="n">
        <v>15</v>
      </c>
      <c r="B20" s="12" t="s">
        <v>46</v>
      </c>
      <c r="C20" s="12" t="s">
        <v>47</v>
      </c>
      <c r="D20" s="12" t="s">
        <v>113</v>
      </c>
      <c r="E20" s="12" t="s">
        <v>114</v>
      </c>
      <c r="F20" s="12" t="s">
        <v>86</v>
      </c>
      <c r="G20" s="12" t="n">
        <v>1</v>
      </c>
      <c r="H20" s="12" t="s">
        <v>69</v>
      </c>
      <c r="I20" s="12" t="s">
        <v>70</v>
      </c>
      <c r="J20" s="12"/>
      <c r="K20" s="12" t="s">
        <v>71</v>
      </c>
      <c r="L20" s="12"/>
      <c r="M20" s="12" t="s">
        <v>115</v>
      </c>
      <c r="N20" s="12"/>
      <c r="O20" s="13" t="s">
        <v>54</v>
      </c>
      <c r="P20" s="14"/>
    </row>
    <row r="21" customFormat="false" ht="23.25" hidden="false" customHeight="true" outlineLevel="0" collapsed="false">
      <c r="A21" s="12" t="n">
        <v>16</v>
      </c>
      <c r="B21" s="12" t="s">
        <v>46</v>
      </c>
      <c r="C21" s="12" t="s">
        <v>47</v>
      </c>
      <c r="D21" s="12" t="s">
        <v>116</v>
      </c>
      <c r="E21" s="12" t="s">
        <v>117</v>
      </c>
      <c r="F21" s="12" t="s">
        <v>81</v>
      </c>
      <c r="G21" s="12" t="n">
        <v>2</v>
      </c>
      <c r="H21" s="12" t="s">
        <v>50</v>
      </c>
      <c r="I21" s="12"/>
      <c r="J21" s="12"/>
      <c r="K21" s="12" t="s">
        <v>82</v>
      </c>
      <c r="L21" s="12"/>
      <c r="M21" s="12" t="s">
        <v>83</v>
      </c>
      <c r="N21" s="12"/>
      <c r="O21" s="13" t="s">
        <v>54</v>
      </c>
      <c r="P21" s="14"/>
    </row>
    <row r="22" customFormat="false" ht="23.25" hidden="false" customHeight="true" outlineLevel="0" collapsed="false">
      <c r="A22" s="12" t="n">
        <v>17</v>
      </c>
      <c r="B22" s="12" t="s">
        <v>46</v>
      </c>
      <c r="C22" s="12" t="s">
        <v>47</v>
      </c>
      <c r="D22" s="12" t="s">
        <v>118</v>
      </c>
      <c r="E22" s="12" t="s">
        <v>119</v>
      </c>
      <c r="F22" s="12" t="s">
        <v>120</v>
      </c>
      <c r="G22" s="12" t="n">
        <v>2</v>
      </c>
      <c r="H22" s="12" t="s">
        <v>50</v>
      </c>
      <c r="I22" s="12"/>
      <c r="J22" s="12"/>
      <c r="K22" s="12" t="s">
        <v>62</v>
      </c>
      <c r="L22" s="12"/>
      <c r="M22" s="12" t="s">
        <v>63</v>
      </c>
      <c r="N22" s="12"/>
      <c r="O22" s="13" t="s">
        <v>54</v>
      </c>
      <c r="P22" s="14"/>
    </row>
    <row r="23" customFormat="false" ht="23.25" hidden="false" customHeight="true" outlineLevel="0" collapsed="false">
      <c r="A23" s="12" t="n">
        <v>18</v>
      </c>
      <c r="B23" s="12" t="s">
        <v>46</v>
      </c>
      <c r="C23" s="12" t="s">
        <v>47</v>
      </c>
      <c r="D23" s="12" t="s">
        <v>121</v>
      </c>
      <c r="E23" s="12" t="s">
        <v>122</v>
      </c>
      <c r="F23" s="12"/>
      <c r="G23" s="12" t="n">
        <v>1</v>
      </c>
      <c r="H23" s="12" t="s">
        <v>50</v>
      </c>
      <c r="I23" s="12"/>
      <c r="J23" s="12"/>
      <c r="K23" s="12" t="s">
        <v>51</v>
      </c>
      <c r="L23" s="12"/>
      <c r="M23" s="12" t="s">
        <v>123</v>
      </c>
      <c r="N23" s="12" t="s">
        <v>124</v>
      </c>
      <c r="O23" s="13" t="s">
        <v>54</v>
      </c>
      <c r="P23" s="14"/>
    </row>
    <row r="24" customFormat="false" ht="45.75" hidden="false" customHeight="true" outlineLevel="0" collapsed="false">
      <c r="A24" s="12" t="n">
        <v>19</v>
      </c>
      <c r="B24" s="12" t="s">
        <v>46</v>
      </c>
      <c r="C24" s="12" t="s">
        <v>47</v>
      </c>
      <c r="D24" s="12" t="s">
        <v>125</v>
      </c>
      <c r="E24" s="12" t="s">
        <v>126</v>
      </c>
      <c r="F24" s="12" t="s">
        <v>86</v>
      </c>
      <c r="G24" s="12" t="n">
        <v>1</v>
      </c>
      <c r="H24" s="12" t="s">
        <v>69</v>
      </c>
      <c r="I24" s="12" t="s">
        <v>70</v>
      </c>
      <c r="J24" s="12"/>
      <c r="K24" s="12" t="s">
        <v>71</v>
      </c>
      <c r="L24" s="12"/>
      <c r="M24" s="12" t="s">
        <v>127</v>
      </c>
      <c r="N24" s="12" t="s">
        <v>128</v>
      </c>
      <c r="O24" s="13" t="s">
        <v>54</v>
      </c>
      <c r="P24" s="14"/>
    </row>
    <row r="25" customFormat="false" ht="23.25" hidden="false" customHeight="true" outlineLevel="0" collapsed="false">
      <c r="A25" s="12" t="n">
        <v>20</v>
      </c>
      <c r="B25" s="12" t="s">
        <v>46</v>
      </c>
      <c r="C25" s="12" t="s">
        <v>47</v>
      </c>
      <c r="D25" s="12" t="s">
        <v>129</v>
      </c>
      <c r="E25" s="12" t="s">
        <v>130</v>
      </c>
      <c r="F25" s="12" t="s">
        <v>131</v>
      </c>
      <c r="G25" s="12" t="n">
        <v>1</v>
      </c>
      <c r="H25" s="12" t="s">
        <v>50</v>
      </c>
      <c r="I25" s="12"/>
      <c r="J25" s="12"/>
      <c r="K25" s="12" t="s">
        <v>71</v>
      </c>
      <c r="L25" s="12"/>
      <c r="M25" s="12" t="s">
        <v>90</v>
      </c>
      <c r="N25" s="12" t="s">
        <v>132</v>
      </c>
      <c r="O25" s="13" t="s">
        <v>54</v>
      </c>
      <c r="P25" s="14"/>
    </row>
    <row r="26" customFormat="false" ht="23.25" hidden="false" customHeight="true" outlineLevel="0" collapsed="false">
      <c r="A26" s="12" t="n">
        <v>21</v>
      </c>
      <c r="B26" s="12" t="s">
        <v>46</v>
      </c>
      <c r="C26" s="12" t="s">
        <v>47</v>
      </c>
      <c r="D26" s="12" t="s">
        <v>133</v>
      </c>
      <c r="E26" s="12" t="s">
        <v>134</v>
      </c>
      <c r="F26" s="12" t="s">
        <v>68</v>
      </c>
      <c r="G26" s="12" t="n">
        <v>1</v>
      </c>
      <c r="H26" s="12" t="s">
        <v>135</v>
      </c>
      <c r="I26" s="12" t="s">
        <v>136</v>
      </c>
      <c r="J26" s="12" t="s">
        <v>99</v>
      </c>
      <c r="K26" s="12"/>
      <c r="L26" s="12"/>
      <c r="M26" s="12" t="s">
        <v>137</v>
      </c>
      <c r="N26" s="12"/>
      <c r="O26" s="13" t="s">
        <v>54</v>
      </c>
      <c r="P26" s="14"/>
    </row>
    <row r="27" customFormat="false" ht="23.25" hidden="false" customHeight="true" outlineLevel="0" collapsed="false">
      <c r="A27" s="12" t="n">
        <v>22</v>
      </c>
      <c r="B27" s="12" t="s">
        <v>46</v>
      </c>
      <c r="C27" s="12" t="s">
        <v>138</v>
      </c>
      <c r="D27" s="12" t="s">
        <v>139</v>
      </c>
      <c r="E27" s="12" t="s">
        <v>140</v>
      </c>
      <c r="F27" s="12" t="s">
        <v>81</v>
      </c>
      <c r="G27" s="12" t="n">
        <v>2</v>
      </c>
      <c r="H27" s="12" t="s">
        <v>50</v>
      </c>
      <c r="I27" s="12"/>
      <c r="J27" s="12"/>
      <c r="K27" s="12" t="s">
        <v>82</v>
      </c>
      <c r="L27" s="12"/>
      <c r="M27" s="12" t="s">
        <v>83</v>
      </c>
      <c r="N27" s="12"/>
      <c r="O27" s="13" t="s">
        <v>54</v>
      </c>
      <c r="P27" s="14"/>
    </row>
    <row r="28" customFormat="false" ht="34.5" hidden="false" customHeight="true" outlineLevel="0" collapsed="false">
      <c r="A28" s="12" t="n">
        <v>23</v>
      </c>
      <c r="B28" s="12" t="s">
        <v>46</v>
      </c>
      <c r="C28" s="12" t="s">
        <v>141</v>
      </c>
      <c r="D28" s="12" t="s">
        <v>142</v>
      </c>
      <c r="E28" s="12" t="s">
        <v>143</v>
      </c>
      <c r="F28" s="12" t="s">
        <v>144</v>
      </c>
      <c r="G28" s="12" t="n">
        <v>2</v>
      </c>
      <c r="H28" s="12" t="s">
        <v>69</v>
      </c>
      <c r="I28" s="12" t="s">
        <v>70</v>
      </c>
      <c r="J28" s="12"/>
      <c r="K28" s="12" t="s">
        <v>94</v>
      </c>
      <c r="L28" s="12"/>
      <c r="M28" s="12" t="s">
        <v>145</v>
      </c>
      <c r="N28" s="12"/>
      <c r="O28" s="13" t="s">
        <v>54</v>
      </c>
      <c r="P28" s="14"/>
    </row>
    <row r="29" customFormat="false" ht="45.75" hidden="false" customHeight="true" outlineLevel="0" collapsed="false">
      <c r="A29" s="12" t="n">
        <v>24</v>
      </c>
      <c r="B29" s="12" t="s">
        <v>46</v>
      </c>
      <c r="C29" s="12" t="s">
        <v>141</v>
      </c>
      <c r="D29" s="12" t="s">
        <v>146</v>
      </c>
      <c r="E29" s="12" t="s">
        <v>147</v>
      </c>
      <c r="F29" s="12" t="s">
        <v>148</v>
      </c>
      <c r="G29" s="12" t="n">
        <v>1</v>
      </c>
      <c r="H29" s="12" t="s">
        <v>98</v>
      </c>
      <c r="I29" s="12" t="s">
        <v>103</v>
      </c>
      <c r="J29" s="12" t="s">
        <v>104</v>
      </c>
      <c r="K29" s="12" t="s">
        <v>94</v>
      </c>
      <c r="L29" s="12"/>
      <c r="M29" s="12" t="s">
        <v>149</v>
      </c>
      <c r="N29" s="12"/>
      <c r="O29" s="13" t="s">
        <v>54</v>
      </c>
      <c r="P29" s="14"/>
    </row>
    <row r="30" customFormat="false" ht="23.25" hidden="false" customHeight="true" outlineLevel="0" collapsed="false">
      <c r="A30" s="12" t="n">
        <v>25</v>
      </c>
      <c r="B30" s="12" t="s">
        <v>46</v>
      </c>
      <c r="C30" s="12" t="s">
        <v>141</v>
      </c>
      <c r="D30" s="12" t="s">
        <v>150</v>
      </c>
      <c r="E30" s="12" t="s">
        <v>151</v>
      </c>
      <c r="F30" s="12" t="s">
        <v>152</v>
      </c>
      <c r="G30" s="12" t="n">
        <v>2</v>
      </c>
      <c r="H30" s="12" t="s">
        <v>153</v>
      </c>
      <c r="I30" s="12" t="s">
        <v>70</v>
      </c>
      <c r="J30" s="12"/>
      <c r="K30" s="12"/>
      <c r="L30" s="12"/>
      <c r="M30" s="12" t="s">
        <v>154</v>
      </c>
      <c r="N30" s="12"/>
      <c r="O30" s="13" t="s">
        <v>54</v>
      </c>
      <c r="P30" s="14"/>
    </row>
    <row r="31" customFormat="false" ht="34.5" hidden="false" customHeight="true" outlineLevel="0" collapsed="false">
      <c r="A31" s="12" t="n">
        <v>26</v>
      </c>
      <c r="B31" s="12" t="s">
        <v>46</v>
      </c>
      <c r="C31" s="12" t="s">
        <v>141</v>
      </c>
      <c r="D31" s="12" t="s">
        <v>155</v>
      </c>
      <c r="E31" s="12" t="s">
        <v>156</v>
      </c>
      <c r="F31" s="12" t="s">
        <v>144</v>
      </c>
      <c r="G31" s="12" t="n">
        <v>1</v>
      </c>
      <c r="H31" s="12" t="s">
        <v>69</v>
      </c>
      <c r="I31" s="12" t="s">
        <v>70</v>
      </c>
      <c r="J31" s="12"/>
      <c r="K31" s="12" t="s">
        <v>51</v>
      </c>
      <c r="L31" s="12"/>
      <c r="M31" s="12" t="s">
        <v>157</v>
      </c>
      <c r="N31" s="12" t="s">
        <v>158</v>
      </c>
      <c r="O31" s="13" t="s">
        <v>54</v>
      </c>
      <c r="P31" s="14"/>
    </row>
    <row r="32" customFormat="false" ht="34.5" hidden="false" customHeight="true" outlineLevel="0" collapsed="false">
      <c r="A32" s="12" t="n">
        <v>27</v>
      </c>
      <c r="B32" s="12" t="s">
        <v>46</v>
      </c>
      <c r="C32" s="12" t="s">
        <v>141</v>
      </c>
      <c r="D32" s="12" t="s">
        <v>159</v>
      </c>
      <c r="E32" s="12" t="s">
        <v>160</v>
      </c>
      <c r="F32" s="12" t="s">
        <v>161</v>
      </c>
      <c r="G32" s="12" t="n">
        <v>1</v>
      </c>
      <c r="H32" s="12" t="s">
        <v>153</v>
      </c>
      <c r="I32" s="12" t="s">
        <v>162</v>
      </c>
      <c r="J32" s="12"/>
      <c r="K32" s="12"/>
      <c r="L32" s="12"/>
      <c r="M32" s="12" t="s">
        <v>163</v>
      </c>
      <c r="N32" s="12"/>
      <c r="O32" s="13" t="s">
        <v>54</v>
      </c>
      <c r="P32" s="14"/>
    </row>
    <row r="33" customFormat="false" ht="34.5" hidden="false" customHeight="true" outlineLevel="0" collapsed="false">
      <c r="A33" s="12" t="n">
        <v>28</v>
      </c>
      <c r="B33" s="12" t="s">
        <v>46</v>
      </c>
      <c r="C33" s="12" t="s">
        <v>164</v>
      </c>
      <c r="D33" s="12" t="s">
        <v>165</v>
      </c>
      <c r="E33" s="12" t="s">
        <v>166</v>
      </c>
      <c r="F33" s="12" t="s">
        <v>161</v>
      </c>
      <c r="G33" s="12" t="n">
        <v>1</v>
      </c>
      <c r="H33" s="12" t="s">
        <v>153</v>
      </c>
      <c r="I33" s="12" t="s">
        <v>162</v>
      </c>
      <c r="J33" s="12"/>
      <c r="K33" s="12"/>
      <c r="L33" s="12"/>
      <c r="M33" s="12" t="s">
        <v>163</v>
      </c>
      <c r="N33" s="12"/>
      <c r="O33" s="13" t="s">
        <v>54</v>
      </c>
      <c r="P33" s="14"/>
    </row>
    <row r="34" customFormat="false" ht="15" hidden="false" customHeight="true" outlineLevel="0" collapsed="false">
      <c r="A34" s="10" t="s">
        <v>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customFormat="false" ht="23.25" hidden="false" customHeight="true" outlineLevel="0" collapsed="false">
      <c r="A35" s="12" t="n">
        <v>29</v>
      </c>
      <c r="B35" s="12" t="s">
        <v>167</v>
      </c>
      <c r="C35" s="12" t="s">
        <v>164</v>
      </c>
      <c r="D35" s="12" t="s">
        <v>168</v>
      </c>
      <c r="E35" s="12" t="s">
        <v>169</v>
      </c>
      <c r="F35" s="12" t="s">
        <v>170</v>
      </c>
      <c r="G35" s="12" t="n">
        <v>2</v>
      </c>
      <c r="H35" s="12" t="s">
        <v>76</v>
      </c>
      <c r="I35" s="12"/>
      <c r="J35" s="12" t="s">
        <v>171</v>
      </c>
      <c r="K35" s="12"/>
      <c r="L35" s="12"/>
      <c r="M35" s="12" t="s">
        <v>172</v>
      </c>
      <c r="N35" s="12"/>
      <c r="O35" s="13" t="s">
        <v>54</v>
      </c>
      <c r="P35" s="14"/>
    </row>
    <row r="36" customFormat="false" ht="23.25" hidden="false" customHeight="true" outlineLevel="0" collapsed="false">
      <c r="A36" s="12" t="n">
        <v>30</v>
      </c>
      <c r="B36" s="12" t="s">
        <v>167</v>
      </c>
      <c r="C36" s="12" t="s">
        <v>164</v>
      </c>
      <c r="D36" s="12" t="s">
        <v>173</v>
      </c>
      <c r="E36" s="12" t="s">
        <v>174</v>
      </c>
      <c r="F36" s="12" t="s">
        <v>175</v>
      </c>
      <c r="G36" s="12" t="n">
        <v>2</v>
      </c>
      <c r="H36" s="12" t="s">
        <v>176</v>
      </c>
      <c r="I36" s="12"/>
      <c r="J36" s="12" t="s">
        <v>171</v>
      </c>
      <c r="K36" s="12"/>
      <c r="L36" s="12" t="s">
        <v>177</v>
      </c>
      <c r="M36" s="12" t="s">
        <v>178</v>
      </c>
      <c r="N36" s="12"/>
      <c r="O36" s="13" t="s">
        <v>54</v>
      </c>
      <c r="P36" s="14"/>
    </row>
    <row r="37" customFormat="false" ht="57" hidden="false" customHeight="true" outlineLevel="0" collapsed="false">
      <c r="A37" s="12" t="n">
        <v>31</v>
      </c>
      <c r="B37" s="12" t="s">
        <v>167</v>
      </c>
      <c r="C37" s="12" t="s">
        <v>179</v>
      </c>
      <c r="D37" s="12" t="s">
        <v>180</v>
      </c>
      <c r="E37" s="12" t="s">
        <v>181</v>
      </c>
      <c r="F37" s="12" t="s">
        <v>182</v>
      </c>
      <c r="G37" s="12" t="n">
        <v>2</v>
      </c>
      <c r="H37" s="12" t="s">
        <v>183</v>
      </c>
      <c r="I37" s="12"/>
      <c r="J37" s="12"/>
      <c r="K37" s="12" t="s">
        <v>184</v>
      </c>
      <c r="L37" s="12" t="s">
        <v>185</v>
      </c>
      <c r="M37" s="12" t="s">
        <v>186</v>
      </c>
      <c r="N37" s="12"/>
      <c r="O37" s="13" t="s">
        <v>54</v>
      </c>
      <c r="P37" s="14"/>
    </row>
    <row r="38" customFormat="false" ht="23.25" hidden="false" customHeight="true" outlineLevel="0" collapsed="false">
      <c r="A38" s="12" t="n">
        <v>32</v>
      </c>
      <c r="B38" s="12" t="s">
        <v>167</v>
      </c>
      <c r="C38" s="12" t="s">
        <v>179</v>
      </c>
      <c r="D38" s="12" t="s">
        <v>187</v>
      </c>
      <c r="E38" s="12" t="s">
        <v>188</v>
      </c>
      <c r="F38" s="12"/>
      <c r="G38" s="12" t="n">
        <v>1</v>
      </c>
      <c r="H38" s="12" t="s">
        <v>50</v>
      </c>
      <c r="I38" s="12"/>
      <c r="J38" s="12"/>
      <c r="K38" s="12" t="s">
        <v>51</v>
      </c>
      <c r="L38" s="12"/>
      <c r="M38" s="12" t="s">
        <v>189</v>
      </c>
      <c r="N38" s="12" t="s">
        <v>190</v>
      </c>
      <c r="O38" s="13" t="s">
        <v>54</v>
      </c>
      <c r="P38" s="14"/>
    </row>
    <row r="39" customFormat="false" ht="34.5" hidden="false" customHeight="true" outlineLevel="0" collapsed="false">
      <c r="A39" s="12" t="n">
        <v>33</v>
      </c>
      <c r="B39" s="12" t="s">
        <v>167</v>
      </c>
      <c r="C39" s="12" t="s">
        <v>179</v>
      </c>
      <c r="D39" s="12" t="s">
        <v>191</v>
      </c>
      <c r="E39" s="12" t="s">
        <v>192</v>
      </c>
      <c r="F39" s="12" t="s">
        <v>193</v>
      </c>
      <c r="G39" s="12" t="n">
        <v>1</v>
      </c>
      <c r="H39" s="12" t="s">
        <v>50</v>
      </c>
      <c r="I39" s="12"/>
      <c r="J39" s="12"/>
      <c r="K39" s="12" t="s">
        <v>194</v>
      </c>
      <c r="L39" s="12"/>
      <c r="M39" s="12" t="s">
        <v>195</v>
      </c>
      <c r="N39" s="12"/>
      <c r="O39" s="13" t="s">
        <v>54</v>
      </c>
      <c r="P39" s="14"/>
    </row>
    <row r="40" customFormat="false" ht="15" hidden="false" customHeight="true" outlineLevel="0" collapsed="false">
      <c r="A40" s="12" t="n">
        <v>34</v>
      </c>
      <c r="B40" s="12" t="s">
        <v>167</v>
      </c>
      <c r="C40" s="12" t="s">
        <v>179</v>
      </c>
      <c r="D40" s="12" t="s">
        <v>196</v>
      </c>
      <c r="E40" s="12" t="s">
        <v>197</v>
      </c>
      <c r="F40" s="12" t="s">
        <v>198</v>
      </c>
      <c r="G40" s="12" t="n">
        <v>3</v>
      </c>
      <c r="H40" s="12" t="s">
        <v>50</v>
      </c>
      <c r="I40" s="12"/>
      <c r="J40" s="12"/>
      <c r="K40" s="12" t="s">
        <v>82</v>
      </c>
      <c r="L40" s="12"/>
      <c r="M40" s="12" t="s">
        <v>199</v>
      </c>
      <c r="N40" s="12"/>
      <c r="O40" s="13" t="s">
        <v>54</v>
      </c>
      <c r="P40" s="14"/>
    </row>
    <row r="41" customFormat="false" ht="57" hidden="false" customHeight="true" outlineLevel="0" collapsed="false">
      <c r="A41" s="12" t="n">
        <v>35</v>
      </c>
      <c r="B41" s="12" t="s">
        <v>167</v>
      </c>
      <c r="C41" s="12" t="s">
        <v>179</v>
      </c>
      <c r="D41" s="12" t="s">
        <v>200</v>
      </c>
      <c r="E41" s="12" t="s">
        <v>201</v>
      </c>
      <c r="F41" s="12" t="s">
        <v>202</v>
      </c>
      <c r="G41" s="12" t="n">
        <v>1</v>
      </c>
      <c r="H41" s="12" t="s">
        <v>203</v>
      </c>
      <c r="I41" s="12"/>
      <c r="J41" s="12" t="s">
        <v>99</v>
      </c>
      <c r="K41" s="12" t="s">
        <v>194</v>
      </c>
      <c r="L41" s="12" t="s">
        <v>204</v>
      </c>
      <c r="M41" s="12" t="s">
        <v>205</v>
      </c>
      <c r="N41" s="12"/>
      <c r="O41" s="13" t="s">
        <v>54</v>
      </c>
      <c r="P41" s="14"/>
    </row>
    <row r="42" customFormat="false" ht="45.75" hidden="false" customHeight="true" outlineLevel="0" collapsed="false">
      <c r="A42" s="12" t="n">
        <v>36</v>
      </c>
      <c r="B42" s="12" t="s">
        <v>167</v>
      </c>
      <c r="C42" s="12" t="s">
        <v>179</v>
      </c>
      <c r="D42" s="12" t="s">
        <v>206</v>
      </c>
      <c r="E42" s="12" t="s">
        <v>207</v>
      </c>
      <c r="F42" s="12" t="s">
        <v>208</v>
      </c>
      <c r="G42" s="12" t="n">
        <v>1</v>
      </c>
      <c r="H42" s="12" t="s">
        <v>203</v>
      </c>
      <c r="I42" s="12"/>
      <c r="J42" s="12" t="s">
        <v>77</v>
      </c>
      <c r="K42" s="12" t="s">
        <v>94</v>
      </c>
      <c r="L42" s="12" t="s">
        <v>209</v>
      </c>
      <c r="M42" s="12" t="s">
        <v>210</v>
      </c>
      <c r="N42" s="12"/>
      <c r="O42" s="13" t="s">
        <v>54</v>
      </c>
      <c r="P42" s="14"/>
    </row>
    <row r="43" customFormat="false" ht="34.5" hidden="false" customHeight="true" outlineLevel="0" collapsed="false">
      <c r="A43" s="12" t="n">
        <v>37</v>
      </c>
      <c r="B43" s="12" t="s">
        <v>167</v>
      </c>
      <c r="C43" s="12" t="s">
        <v>179</v>
      </c>
      <c r="D43" s="12" t="s">
        <v>211</v>
      </c>
      <c r="E43" s="12" t="s">
        <v>212</v>
      </c>
      <c r="F43" s="12" t="s">
        <v>213</v>
      </c>
      <c r="G43" s="12" t="n">
        <v>1</v>
      </c>
      <c r="H43" s="12" t="s">
        <v>176</v>
      </c>
      <c r="I43" s="12"/>
      <c r="J43" s="12" t="s">
        <v>214</v>
      </c>
      <c r="K43" s="12"/>
      <c r="L43" s="12" t="s">
        <v>215</v>
      </c>
      <c r="M43" s="12" t="s">
        <v>216</v>
      </c>
      <c r="N43" s="12"/>
      <c r="O43" s="13" t="s">
        <v>54</v>
      </c>
      <c r="P43" s="14"/>
    </row>
    <row r="44" customFormat="false" ht="23.25" hidden="false" customHeight="true" outlineLevel="0" collapsed="false">
      <c r="A44" s="12" t="n">
        <v>38</v>
      </c>
      <c r="B44" s="12" t="s">
        <v>167</v>
      </c>
      <c r="C44" s="12" t="s">
        <v>179</v>
      </c>
      <c r="D44" s="12" t="s">
        <v>217</v>
      </c>
      <c r="E44" s="12" t="s">
        <v>218</v>
      </c>
      <c r="F44" s="12"/>
      <c r="G44" s="12" t="n">
        <v>1</v>
      </c>
      <c r="H44" s="12" t="s">
        <v>50</v>
      </c>
      <c r="I44" s="12"/>
      <c r="J44" s="12"/>
      <c r="K44" s="12" t="s">
        <v>51</v>
      </c>
      <c r="L44" s="12"/>
      <c r="M44" s="12" t="s">
        <v>219</v>
      </c>
      <c r="N44" s="12" t="s">
        <v>220</v>
      </c>
      <c r="O44" s="13" t="s">
        <v>54</v>
      </c>
      <c r="P44" s="14"/>
    </row>
    <row r="45" customFormat="false" ht="23.25" hidden="false" customHeight="true" outlineLevel="0" collapsed="false">
      <c r="A45" s="12" t="n">
        <v>39</v>
      </c>
      <c r="B45" s="12" t="s">
        <v>167</v>
      </c>
      <c r="C45" s="12" t="s">
        <v>179</v>
      </c>
      <c r="D45" s="12" t="s">
        <v>221</v>
      </c>
      <c r="E45" s="12" t="s">
        <v>222</v>
      </c>
      <c r="F45" s="12" t="s">
        <v>223</v>
      </c>
      <c r="G45" s="12" t="n">
        <v>2</v>
      </c>
      <c r="H45" s="12" t="s">
        <v>76</v>
      </c>
      <c r="I45" s="12"/>
      <c r="J45" s="12" t="s">
        <v>77</v>
      </c>
      <c r="K45" s="12"/>
      <c r="L45" s="12"/>
      <c r="M45" s="12" t="s">
        <v>224</v>
      </c>
      <c r="N45" s="12"/>
      <c r="O45" s="13" t="s">
        <v>54</v>
      </c>
      <c r="P45" s="14"/>
    </row>
    <row r="46" customFormat="false" ht="23.25" hidden="false" customHeight="true" outlineLevel="0" collapsed="false">
      <c r="A46" s="12" t="n">
        <v>40</v>
      </c>
      <c r="B46" s="12" t="s">
        <v>167</v>
      </c>
      <c r="C46" s="12" t="s">
        <v>179</v>
      </c>
      <c r="D46" s="12" t="s">
        <v>225</v>
      </c>
      <c r="E46" s="12" t="s">
        <v>226</v>
      </c>
      <c r="F46" s="12" t="s">
        <v>227</v>
      </c>
      <c r="G46" s="12" t="n">
        <v>3</v>
      </c>
      <c r="H46" s="12" t="s">
        <v>76</v>
      </c>
      <c r="I46" s="12"/>
      <c r="J46" s="12" t="s">
        <v>77</v>
      </c>
      <c r="K46" s="12"/>
      <c r="L46" s="12"/>
      <c r="M46" s="12" t="s">
        <v>228</v>
      </c>
      <c r="N46" s="12"/>
      <c r="O46" s="13" t="s">
        <v>54</v>
      </c>
      <c r="P46" s="14"/>
    </row>
    <row r="47" customFormat="false" ht="57" hidden="false" customHeight="true" outlineLevel="0" collapsed="false">
      <c r="A47" s="12" t="n">
        <v>41</v>
      </c>
      <c r="B47" s="12" t="s">
        <v>167</v>
      </c>
      <c r="C47" s="12" t="s">
        <v>179</v>
      </c>
      <c r="D47" s="12" t="s">
        <v>229</v>
      </c>
      <c r="E47" s="12" t="s">
        <v>230</v>
      </c>
      <c r="F47" s="12" t="s">
        <v>231</v>
      </c>
      <c r="G47" s="12" t="n">
        <v>1</v>
      </c>
      <c r="H47" s="12" t="s">
        <v>50</v>
      </c>
      <c r="I47" s="12"/>
      <c r="J47" s="12"/>
      <c r="K47" s="12" t="s">
        <v>194</v>
      </c>
      <c r="L47" s="12"/>
      <c r="M47" s="12" t="s">
        <v>232</v>
      </c>
      <c r="N47" s="12" t="s">
        <v>233</v>
      </c>
      <c r="O47" s="13" t="s">
        <v>54</v>
      </c>
      <c r="P47" s="14"/>
    </row>
    <row r="48" customFormat="false" ht="57" hidden="false" customHeight="true" outlineLevel="0" collapsed="false">
      <c r="A48" s="12" t="n">
        <v>42</v>
      </c>
      <c r="B48" s="12" t="s">
        <v>167</v>
      </c>
      <c r="C48" s="12" t="s">
        <v>179</v>
      </c>
      <c r="D48" s="12" t="s">
        <v>234</v>
      </c>
      <c r="E48" s="12" t="s">
        <v>235</v>
      </c>
      <c r="F48" s="12" t="s">
        <v>236</v>
      </c>
      <c r="G48" s="12" t="n">
        <v>1</v>
      </c>
      <c r="H48" s="12" t="s">
        <v>203</v>
      </c>
      <c r="I48" s="12"/>
      <c r="J48" s="12" t="s">
        <v>99</v>
      </c>
      <c r="K48" s="12" t="s">
        <v>194</v>
      </c>
      <c r="L48" s="12" t="s">
        <v>237</v>
      </c>
      <c r="M48" s="12" t="s">
        <v>238</v>
      </c>
      <c r="N48" s="12"/>
      <c r="O48" s="13" t="s">
        <v>54</v>
      </c>
      <c r="P48" s="14"/>
    </row>
    <row r="49" customFormat="false" ht="23.25" hidden="false" customHeight="true" outlineLevel="0" collapsed="false">
      <c r="A49" s="12" t="n">
        <v>43</v>
      </c>
      <c r="B49" s="12" t="s">
        <v>167</v>
      </c>
      <c r="C49" s="12" t="s">
        <v>179</v>
      </c>
      <c r="D49" s="12" t="s">
        <v>239</v>
      </c>
      <c r="E49" s="12" t="s">
        <v>240</v>
      </c>
      <c r="F49" s="12" t="s">
        <v>241</v>
      </c>
      <c r="G49" s="12" t="n">
        <v>2</v>
      </c>
      <c r="H49" s="12" t="s">
        <v>242</v>
      </c>
      <c r="I49" s="12"/>
      <c r="J49" s="12"/>
      <c r="K49" s="12"/>
      <c r="L49" s="12" t="s">
        <v>243</v>
      </c>
      <c r="M49" s="12" t="s">
        <v>244</v>
      </c>
      <c r="N49" s="12"/>
      <c r="O49" s="13" t="s">
        <v>54</v>
      </c>
      <c r="P49" s="14"/>
    </row>
    <row r="50" customFormat="false" ht="15" hidden="false" customHeight="true" outlineLevel="0" collapsed="false">
      <c r="A50" s="12" t="n">
        <v>44</v>
      </c>
      <c r="B50" s="12" t="s">
        <v>167</v>
      </c>
      <c r="C50" s="12" t="s">
        <v>179</v>
      </c>
      <c r="D50" s="12" t="s">
        <v>245</v>
      </c>
      <c r="E50" s="12" t="s">
        <v>246</v>
      </c>
      <c r="F50" s="12" t="s">
        <v>247</v>
      </c>
      <c r="G50" s="12" t="n">
        <v>3</v>
      </c>
      <c r="H50" s="12" t="s">
        <v>50</v>
      </c>
      <c r="I50" s="12"/>
      <c r="J50" s="12"/>
      <c r="K50" s="12" t="s">
        <v>82</v>
      </c>
      <c r="L50" s="12"/>
      <c r="M50" s="12" t="s">
        <v>199</v>
      </c>
      <c r="N50" s="12"/>
      <c r="O50" s="13" t="s">
        <v>54</v>
      </c>
      <c r="P50" s="14"/>
    </row>
    <row r="51" customFormat="false" ht="45.75" hidden="false" customHeight="true" outlineLevel="0" collapsed="false">
      <c r="A51" s="12" t="n">
        <v>45</v>
      </c>
      <c r="B51" s="12" t="s">
        <v>167</v>
      </c>
      <c r="C51" s="12" t="s">
        <v>179</v>
      </c>
      <c r="D51" s="12" t="s">
        <v>248</v>
      </c>
      <c r="E51" s="12" t="s">
        <v>249</v>
      </c>
      <c r="F51" s="12" t="s">
        <v>250</v>
      </c>
      <c r="G51" s="12" t="n">
        <v>2</v>
      </c>
      <c r="H51" s="12" t="s">
        <v>242</v>
      </c>
      <c r="I51" s="12"/>
      <c r="J51" s="12"/>
      <c r="K51" s="12"/>
      <c r="L51" s="12" t="s">
        <v>251</v>
      </c>
      <c r="M51" s="12" t="s">
        <v>252</v>
      </c>
      <c r="N51" s="12"/>
      <c r="O51" s="13" t="s">
        <v>54</v>
      </c>
      <c r="P51" s="14"/>
    </row>
    <row r="52" customFormat="false" ht="15" hidden="false" customHeight="true" outlineLevel="0" collapsed="false">
      <c r="A52" s="12" t="n">
        <v>46</v>
      </c>
      <c r="B52" s="12" t="s">
        <v>167</v>
      </c>
      <c r="C52" s="12" t="s">
        <v>179</v>
      </c>
      <c r="D52" s="12" t="s">
        <v>253</v>
      </c>
      <c r="E52" s="12" t="s">
        <v>254</v>
      </c>
      <c r="F52" s="12" t="s">
        <v>198</v>
      </c>
      <c r="G52" s="12" t="n">
        <v>3</v>
      </c>
      <c r="H52" s="12" t="s">
        <v>50</v>
      </c>
      <c r="I52" s="12"/>
      <c r="J52" s="12"/>
      <c r="K52" s="12" t="s">
        <v>82</v>
      </c>
      <c r="L52" s="12"/>
      <c r="M52" s="12" t="s">
        <v>199</v>
      </c>
      <c r="N52" s="12"/>
      <c r="O52" s="13" t="s">
        <v>54</v>
      </c>
      <c r="P52" s="14"/>
    </row>
    <row r="53" customFormat="false" ht="57" hidden="false" customHeight="true" outlineLevel="0" collapsed="false">
      <c r="A53" s="12" t="n">
        <v>47</v>
      </c>
      <c r="B53" s="12" t="s">
        <v>167</v>
      </c>
      <c r="C53" s="12" t="s">
        <v>179</v>
      </c>
      <c r="D53" s="12" t="s">
        <v>255</v>
      </c>
      <c r="E53" s="12" t="s">
        <v>256</v>
      </c>
      <c r="F53" s="12" t="s">
        <v>257</v>
      </c>
      <c r="G53" s="12" t="n">
        <v>1</v>
      </c>
      <c r="H53" s="12" t="s">
        <v>50</v>
      </c>
      <c r="I53" s="12"/>
      <c r="J53" s="12"/>
      <c r="K53" s="12" t="s">
        <v>194</v>
      </c>
      <c r="L53" s="12"/>
      <c r="M53" s="12" t="s">
        <v>258</v>
      </c>
      <c r="N53" s="12" t="s">
        <v>259</v>
      </c>
      <c r="O53" s="13" t="s">
        <v>54</v>
      </c>
      <c r="P53" s="14"/>
    </row>
    <row r="54" customFormat="false" ht="57" hidden="false" customHeight="true" outlineLevel="0" collapsed="false">
      <c r="A54" s="12" t="n">
        <v>48</v>
      </c>
      <c r="B54" s="12" t="s">
        <v>167</v>
      </c>
      <c r="C54" s="12" t="s">
        <v>179</v>
      </c>
      <c r="D54" s="12" t="s">
        <v>260</v>
      </c>
      <c r="E54" s="12" t="s">
        <v>261</v>
      </c>
      <c r="F54" s="12" t="s">
        <v>262</v>
      </c>
      <c r="G54" s="12" t="n">
        <v>1</v>
      </c>
      <c r="H54" s="12" t="s">
        <v>203</v>
      </c>
      <c r="I54" s="12"/>
      <c r="J54" s="12" t="s">
        <v>99</v>
      </c>
      <c r="K54" s="12" t="s">
        <v>194</v>
      </c>
      <c r="L54" s="12" t="s">
        <v>263</v>
      </c>
      <c r="M54" s="12" t="s">
        <v>238</v>
      </c>
      <c r="N54" s="12"/>
      <c r="O54" s="13" t="s">
        <v>54</v>
      </c>
      <c r="P54" s="14"/>
    </row>
    <row r="55" customFormat="false" ht="15" hidden="false" customHeight="true" outlineLevel="0" collapsed="false">
      <c r="A55" s="12" t="n">
        <v>49</v>
      </c>
      <c r="B55" s="12" t="s">
        <v>167</v>
      </c>
      <c r="C55" s="12" t="s">
        <v>179</v>
      </c>
      <c r="D55" s="12" t="s">
        <v>264</v>
      </c>
      <c r="E55" s="12" t="s">
        <v>265</v>
      </c>
      <c r="F55" s="12" t="s">
        <v>247</v>
      </c>
      <c r="G55" s="12" t="n">
        <v>3</v>
      </c>
      <c r="H55" s="12" t="s">
        <v>50</v>
      </c>
      <c r="I55" s="12"/>
      <c r="J55" s="12"/>
      <c r="K55" s="12" t="s">
        <v>82</v>
      </c>
      <c r="L55" s="12"/>
      <c r="M55" s="12" t="s">
        <v>199</v>
      </c>
      <c r="N55" s="12"/>
      <c r="O55" s="13" t="s">
        <v>54</v>
      </c>
      <c r="P55" s="14"/>
    </row>
    <row r="56" customFormat="false" ht="57" hidden="false" customHeight="true" outlineLevel="0" collapsed="false">
      <c r="A56" s="12" t="n">
        <v>50</v>
      </c>
      <c r="B56" s="12" t="s">
        <v>167</v>
      </c>
      <c r="C56" s="12" t="s">
        <v>179</v>
      </c>
      <c r="D56" s="12" t="s">
        <v>266</v>
      </c>
      <c r="E56" s="12" t="s">
        <v>267</v>
      </c>
      <c r="F56" s="12" t="s">
        <v>268</v>
      </c>
      <c r="G56" s="12" t="n">
        <v>1</v>
      </c>
      <c r="H56" s="12" t="s">
        <v>50</v>
      </c>
      <c r="I56" s="12"/>
      <c r="J56" s="12"/>
      <c r="K56" s="12" t="s">
        <v>194</v>
      </c>
      <c r="L56" s="12"/>
      <c r="M56" s="12" t="s">
        <v>269</v>
      </c>
      <c r="N56" s="12" t="s">
        <v>220</v>
      </c>
      <c r="O56" s="13" t="s">
        <v>54</v>
      </c>
      <c r="P56" s="14"/>
    </row>
    <row r="57" customFormat="false" ht="15" hidden="false" customHeight="true" outlineLevel="0" collapsed="false">
      <c r="A57" s="12" t="n">
        <v>51</v>
      </c>
      <c r="B57" s="12" t="s">
        <v>167</v>
      </c>
      <c r="C57" s="12" t="s">
        <v>179</v>
      </c>
      <c r="D57" s="12" t="s">
        <v>270</v>
      </c>
      <c r="E57" s="12" t="s">
        <v>271</v>
      </c>
      <c r="F57" s="12" t="s">
        <v>247</v>
      </c>
      <c r="G57" s="12" t="n">
        <v>3</v>
      </c>
      <c r="H57" s="12" t="s">
        <v>50</v>
      </c>
      <c r="I57" s="12"/>
      <c r="J57" s="12"/>
      <c r="K57" s="12" t="s">
        <v>82</v>
      </c>
      <c r="L57" s="12"/>
      <c r="M57" s="12" t="s">
        <v>199</v>
      </c>
      <c r="N57" s="12"/>
      <c r="O57" s="13" t="s">
        <v>54</v>
      </c>
      <c r="P57" s="14"/>
    </row>
    <row r="58" customFormat="false" ht="34.5" hidden="false" customHeight="true" outlineLevel="0" collapsed="false">
      <c r="A58" s="12" t="n">
        <v>52</v>
      </c>
      <c r="B58" s="12" t="s">
        <v>167</v>
      </c>
      <c r="C58" s="12" t="s">
        <v>179</v>
      </c>
      <c r="D58" s="12" t="s">
        <v>272</v>
      </c>
      <c r="E58" s="12" t="s">
        <v>273</v>
      </c>
      <c r="F58" s="12" t="s">
        <v>274</v>
      </c>
      <c r="G58" s="12" t="n">
        <v>1</v>
      </c>
      <c r="H58" s="12" t="s">
        <v>50</v>
      </c>
      <c r="I58" s="12"/>
      <c r="J58" s="12"/>
      <c r="K58" s="12" t="s">
        <v>194</v>
      </c>
      <c r="L58" s="12"/>
      <c r="M58" s="12" t="s">
        <v>195</v>
      </c>
      <c r="N58" s="12"/>
      <c r="O58" s="13" t="s">
        <v>54</v>
      </c>
      <c r="P58" s="14"/>
    </row>
    <row r="59" customFormat="false" ht="23.25" hidden="false" customHeight="true" outlineLevel="0" collapsed="false">
      <c r="A59" s="12" t="n">
        <v>53</v>
      </c>
      <c r="B59" s="12" t="s">
        <v>167</v>
      </c>
      <c r="C59" s="12" t="s">
        <v>179</v>
      </c>
      <c r="D59" s="12" t="s">
        <v>275</v>
      </c>
      <c r="E59" s="12" t="s">
        <v>276</v>
      </c>
      <c r="F59" s="12"/>
      <c r="G59" s="12" t="n">
        <v>1</v>
      </c>
      <c r="H59" s="12" t="s">
        <v>50</v>
      </c>
      <c r="I59" s="12"/>
      <c r="J59" s="12"/>
      <c r="K59" s="12" t="s">
        <v>51</v>
      </c>
      <c r="L59" s="12"/>
      <c r="M59" s="12" t="s">
        <v>277</v>
      </c>
      <c r="N59" s="12" t="s">
        <v>278</v>
      </c>
      <c r="O59" s="13" t="s">
        <v>54</v>
      </c>
      <c r="P59" s="14"/>
    </row>
    <row r="60" customFormat="false" ht="34.5" hidden="false" customHeight="true" outlineLevel="0" collapsed="false">
      <c r="A60" s="12" t="n">
        <v>54</v>
      </c>
      <c r="B60" s="12" t="s">
        <v>167</v>
      </c>
      <c r="C60" s="12" t="s">
        <v>179</v>
      </c>
      <c r="D60" s="12" t="s">
        <v>279</v>
      </c>
      <c r="E60" s="12" t="s">
        <v>280</v>
      </c>
      <c r="F60" s="12" t="s">
        <v>281</v>
      </c>
      <c r="G60" s="12" t="n">
        <v>2</v>
      </c>
      <c r="H60" s="12" t="s">
        <v>242</v>
      </c>
      <c r="I60" s="12"/>
      <c r="J60" s="12"/>
      <c r="K60" s="12"/>
      <c r="L60" s="12" t="s">
        <v>282</v>
      </c>
      <c r="M60" s="12" t="s">
        <v>244</v>
      </c>
      <c r="N60" s="12"/>
      <c r="O60" s="13" t="s">
        <v>54</v>
      </c>
      <c r="P60" s="14"/>
    </row>
    <row r="61" customFormat="false" ht="45.75" hidden="false" customHeight="true" outlineLevel="0" collapsed="false">
      <c r="A61" s="12" t="n">
        <v>55</v>
      </c>
      <c r="B61" s="12" t="s">
        <v>167</v>
      </c>
      <c r="C61" s="12" t="s">
        <v>179</v>
      </c>
      <c r="D61" s="12" t="s">
        <v>283</v>
      </c>
      <c r="E61" s="12" t="s">
        <v>284</v>
      </c>
      <c r="F61" s="12" t="s">
        <v>285</v>
      </c>
      <c r="G61" s="12" t="n">
        <v>2</v>
      </c>
      <c r="H61" s="12" t="s">
        <v>242</v>
      </c>
      <c r="I61" s="12"/>
      <c r="J61" s="12"/>
      <c r="K61" s="12"/>
      <c r="L61" s="12" t="s">
        <v>286</v>
      </c>
      <c r="M61" s="12" t="s">
        <v>287</v>
      </c>
      <c r="N61" s="12"/>
      <c r="O61" s="13" t="s">
        <v>54</v>
      </c>
      <c r="P61" s="14"/>
    </row>
    <row r="62" customFormat="false" ht="45.75" hidden="false" customHeight="true" outlineLevel="0" collapsed="false">
      <c r="A62" s="12" t="n">
        <v>56</v>
      </c>
      <c r="B62" s="12" t="s">
        <v>167</v>
      </c>
      <c r="C62" s="12" t="s">
        <v>179</v>
      </c>
      <c r="D62" s="12" t="s">
        <v>288</v>
      </c>
      <c r="E62" s="12" t="s">
        <v>289</v>
      </c>
      <c r="F62" s="12" t="s">
        <v>290</v>
      </c>
      <c r="G62" s="12" t="n">
        <v>1</v>
      </c>
      <c r="H62" s="12" t="s">
        <v>183</v>
      </c>
      <c r="I62" s="12"/>
      <c r="J62" s="12"/>
      <c r="K62" s="12" t="s">
        <v>194</v>
      </c>
      <c r="L62" s="12" t="s">
        <v>291</v>
      </c>
      <c r="M62" s="12" t="s">
        <v>292</v>
      </c>
      <c r="N62" s="12" t="s">
        <v>293</v>
      </c>
      <c r="O62" s="13" t="s">
        <v>54</v>
      </c>
      <c r="P62" s="14"/>
    </row>
    <row r="63" customFormat="false" ht="23.25" hidden="false" customHeight="true" outlineLevel="0" collapsed="false">
      <c r="A63" s="12" t="n">
        <v>57</v>
      </c>
      <c r="B63" s="12" t="s">
        <v>167</v>
      </c>
      <c r="C63" s="12" t="s">
        <v>294</v>
      </c>
      <c r="D63" s="12" t="s">
        <v>295</v>
      </c>
      <c r="E63" s="12" t="s">
        <v>296</v>
      </c>
      <c r="F63" s="12" t="s">
        <v>198</v>
      </c>
      <c r="G63" s="12" t="n">
        <v>2</v>
      </c>
      <c r="H63" s="12" t="s">
        <v>50</v>
      </c>
      <c r="I63" s="12"/>
      <c r="J63" s="12"/>
      <c r="K63" s="12" t="s">
        <v>194</v>
      </c>
      <c r="L63" s="12"/>
      <c r="M63" s="12" t="s">
        <v>297</v>
      </c>
      <c r="N63" s="12" t="s">
        <v>298</v>
      </c>
      <c r="O63" s="13" t="s">
        <v>54</v>
      </c>
      <c r="P63" s="14"/>
    </row>
    <row r="64" customFormat="false" ht="23.25" hidden="false" customHeight="true" outlineLevel="0" collapsed="false">
      <c r="A64" s="12" t="n">
        <v>58</v>
      </c>
      <c r="B64" s="12" t="s">
        <v>167</v>
      </c>
      <c r="C64" s="12" t="s">
        <v>294</v>
      </c>
      <c r="D64" s="12" t="s">
        <v>299</v>
      </c>
      <c r="E64" s="12" t="s">
        <v>300</v>
      </c>
      <c r="F64" s="12"/>
      <c r="G64" s="12" t="n">
        <v>2</v>
      </c>
      <c r="H64" s="12" t="s">
        <v>50</v>
      </c>
      <c r="I64" s="12"/>
      <c r="J64" s="12"/>
      <c r="K64" s="12" t="s">
        <v>194</v>
      </c>
      <c r="L64" s="12"/>
      <c r="M64" s="12" t="s">
        <v>297</v>
      </c>
      <c r="N64" s="12" t="s">
        <v>301</v>
      </c>
      <c r="O64" s="13" t="s">
        <v>54</v>
      </c>
      <c r="P64" s="14"/>
    </row>
    <row r="65" customFormat="false" ht="23.25" hidden="false" customHeight="true" outlineLevel="0" collapsed="false">
      <c r="A65" s="12" t="n">
        <v>59</v>
      </c>
      <c r="B65" s="12" t="s">
        <v>167</v>
      </c>
      <c r="C65" s="12" t="s">
        <v>302</v>
      </c>
      <c r="D65" s="12" t="s">
        <v>303</v>
      </c>
      <c r="E65" s="12" t="s">
        <v>304</v>
      </c>
      <c r="F65" s="12" t="s">
        <v>305</v>
      </c>
      <c r="G65" s="12" t="n">
        <v>2</v>
      </c>
      <c r="H65" s="12" t="s">
        <v>242</v>
      </c>
      <c r="I65" s="12"/>
      <c r="J65" s="12"/>
      <c r="K65" s="12"/>
      <c r="L65" s="12" t="s">
        <v>306</v>
      </c>
      <c r="M65" s="12" t="s">
        <v>307</v>
      </c>
      <c r="N65" s="12"/>
      <c r="O65" s="13" t="s">
        <v>54</v>
      </c>
      <c r="P65" s="14"/>
    </row>
    <row r="66" customFormat="false" ht="15" hidden="false" customHeight="true" outlineLevel="0" collapsed="false">
      <c r="A66" s="10" t="s">
        <v>8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customFormat="false" ht="34.5" hidden="false" customHeight="true" outlineLevel="0" collapsed="false">
      <c r="A67" s="12" t="n">
        <v>60</v>
      </c>
      <c r="B67" s="12" t="s">
        <v>308</v>
      </c>
      <c r="C67" s="12" t="s">
        <v>47</v>
      </c>
      <c r="D67" s="12" t="s">
        <v>309</v>
      </c>
      <c r="E67" s="12" t="s">
        <v>310</v>
      </c>
      <c r="F67" s="12" t="s">
        <v>311</v>
      </c>
      <c r="G67" s="12" t="n">
        <v>1</v>
      </c>
      <c r="H67" s="12" t="s">
        <v>50</v>
      </c>
      <c r="I67" s="12"/>
      <c r="J67" s="12"/>
      <c r="K67" s="12" t="s">
        <v>194</v>
      </c>
      <c r="L67" s="12"/>
      <c r="M67" s="12" t="s">
        <v>195</v>
      </c>
      <c r="N67" s="12"/>
      <c r="O67" s="13" t="s">
        <v>54</v>
      </c>
      <c r="P67" s="14"/>
    </row>
    <row r="68" customFormat="false" ht="23.25" hidden="false" customHeight="true" outlineLevel="0" collapsed="false">
      <c r="A68" s="12" t="n">
        <v>61</v>
      </c>
      <c r="B68" s="12" t="s">
        <v>308</v>
      </c>
      <c r="C68" s="12" t="s">
        <v>47</v>
      </c>
      <c r="D68" s="12" t="s">
        <v>312</v>
      </c>
      <c r="E68" s="12" t="s">
        <v>313</v>
      </c>
      <c r="F68" s="12"/>
      <c r="G68" s="12" t="n">
        <v>1</v>
      </c>
      <c r="H68" s="12" t="s">
        <v>50</v>
      </c>
      <c r="I68" s="12"/>
      <c r="J68" s="12"/>
      <c r="K68" s="12" t="s">
        <v>51</v>
      </c>
      <c r="L68" s="12"/>
      <c r="M68" s="12" t="s">
        <v>314</v>
      </c>
      <c r="N68" s="12" t="s">
        <v>315</v>
      </c>
      <c r="O68" s="13" t="s">
        <v>54</v>
      </c>
      <c r="P68" s="14"/>
    </row>
    <row r="69" customFormat="false" ht="23.25" hidden="false" customHeight="true" outlineLevel="0" collapsed="false">
      <c r="A69" s="12" t="n">
        <v>62</v>
      </c>
      <c r="B69" s="12" t="s">
        <v>308</v>
      </c>
      <c r="C69" s="12" t="s">
        <v>47</v>
      </c>
      <c r="D69" s="12" t="s">
        <v>316</v>
      </c>
      <c r="E69" s="12" t="s">
        <v>317</v>
      </c>
      <c r="F69" s="12" t="s">
        <v>318</v>
      </c>
      <c r="G69" s="12" t="n">
        <v>2</v>
      </c>
      <c r="H69" s="12" t="s">
        <v>76</v>
      </c>
      <c r="I69" s="12"/>
      <c r="J69" s="12" t="s">
        <v>77</v>
      </c>
      <c r="K69" s="12"/>
      <c r="L69" s="12"/>
      <c r="M69" s="12" t="s">
        <v>319</v>
      </c>
      <c r="N69" s="12"/>
      <c r="O69" s="13" t="s">
        <v>54</v>
      </c>
      <c r="P69" s="14"/>
    </row>
    <row r="70" customFormat="false" ht="23.25" hidden="false" customHeight="true" outlineLevel="0" collapsed="false">
      <c r="A70" s="12" t="n">
        <v>63</v>
      </c>
      <c r="B70" s="12" t="s">
        <v>308</v>
      </c>
      <c r="C70" s="12" t="s">
        <v>47</v>
      </c>
      <c r="D70" s="12" t="s">
        <v>320</v>
      </c>
      <c r="E70" s="12" t="s">
        <v>321</v>
      </c>
      <c r="F70" s="12" t="s">
        <v>322</v>
      </c>
      <c r="G70" s="12" t="n">
        <v>3</v>
      </c>
      <c r="H70" s="12" t="s">
        <v>176</v>
      </c>
      <c r="I70" s="12"/>
      <c r="J70" s="12" t="s">
        <v>77</v>
      </c>
      <c r="K70" s="12"/>
      <c r="L70" s="12" t="s">
        <v>323</v>
      </c>
      <c r="M70" s="12" t="s">
        <v>324</v>
      </c>
      <c r="N70" s="12"/>
      <c r="O70" s="13" t="s">
        <v>54</v>
      </c>
      <c r="P70" s="14"/>
    </row>
    <row r="71" customFormat="false" ht="57" hidden="false" customHeight="true" outlineLevel="0" collapsed="false">
      <c r="A71" s="12" t="n">
        <v>64</v>
      </c>
      <c r="B71" s="12" t="s">
        <v>308</v>
      </c>
      <c r="C71" s="12" t="s">
        <v>47</v>
      </c>
      <c r="D71" s="12" t="s">
        <v>325</v>
      </c>
      <c r="E71" s="12" t="s">
        <v>326</v>
      </c>
      <c r="F71" s="12" t="s">
        <v>327</v>
      </c>
      <c r="G71" s="12" t="n">
        <v>1</v>
      </c>
      <c r="H71" s="12" t="s">
        <v>50</v>
      </c>
      <c r="I71" s="12"/>
      <c r="J71" s="12"/>
      <c r="K71" s="12" t="s">
        <v>194</v>
      </c>
      <c r="L71" s="12"/>
      <c r="M71" s="12" t="s">
        <v>328</v>
      </c>
      <c r="N71" s="12" t="s">
        <v>329</v>
      </c>
      <c r="O71" s="13" t="s">
        <v>54</v>
      </c>
      <c r="P71" s="14"/>
    </row>
    <row r="72" customFormat="false" ht="34.5" hidden="false" customHeight="true" outlineLevel="0" collapsed="false">
      <c r="A72" s="12" t="n">
        <v>65</v>
      </c>
      <c r="B72" s="12" t="s">
        <v>308</v>
      </c>
      <c r="C72" s="12" t="s">
        <v>47</v>
      </c>
      <c r="D72" s="12" t="s">
        <v>330</v>
      </c>
      <c r="E72" s="12" t="s">
        <v>331</v>
      </c>
      <c r="F72" s="12" t="s">
        <v>327</v>
      </c>
      <c r="G72" s="12" t="n">
        <v>1</v>
      </c>
      <c r="H72" s="12" t="s">
        <v>50</v>
      </c>
      <c r="I72" s="12"/>
      <c r="J72" s="12"/>
      <c r="K72" s="12" t="s">
        <v>194</v>
      </c>
      <c r="L72" s="12"/>
      <c r="M72" s="12" t="s">
        <v>195</v>
      </c>
      <c r="N72" s="12"/>
      <c r="O72" s="13" t="s">
        <v>54</v>
      </c>
      <c r="P72" s="14"/>
    </row>
    <row r="73" customFormat="false" ht="57" hidden="false" customHeight="true" outlineLevel="0" collapsed="false">
      <c r="A73" s="12" t="n">
        <v>66</v>
      </c>
      <c r="B73" s="12" t="s">
        <v>308</v>
      </c>
      <c r="C73" s="12" t="s">
        <v>47</v>
      </c>
      <c r="D73" s="12" t="s">
        <v>332</v>
      </c>
      <c r="E73" s="12" t="s">
        <v>333</v>
      </c>
      <c r="F73" s="12" t="s">
        <v>334</v>
      </c>
      <c r="G73" s="12" t="n">
        <v>1</v>
      </c>
      <c r="H73" s="12" t="s">
        <v>203</v>
      </c>
      <c r="I73" s="12"/>
      <c r="J73" s="12" t="s">
        <v>99</v>
      </c>
      <c r="K73" s="12" t="s">
        <v>194</v>
      </c>
      <c r="L73" s="12" t="s">
        <v>335</v>
      </c>
      <c r="M73" s="12" t="s">
        <v>336</v>
      </c>
      <c r="N73" s="12"/>
      <c r="O73" s="13" t="s">
        <v>54</v>
      </c>
      <c r="P73" s="14"/>
    </row>
    <row r="74" customFormat="false" ht="57" hidden="false" customHeight="true" outlineLevel="0" collapsed="false">
      <c r="A74" s="12" t="n">
        <v>67</v>
      </c>
      <c r="B74" s="12" t="s">
        <v>308</v>
      </c>
      <c r="C74" s="12" t="s">
        <v>47</v>
      </c>
      <c r="D74" s="12" t="s">
        <v>337</v>
      </c>
      <c r="E74" s="12" t="s">
        <v>338</v>
      </c>
      <c r="F74" s="12" t="s">
        <v>339</v>
      </c>
      <c r="G74" s="12" t="n">
        <v>1</v>
      </c>
      <c r="H74" s="12" t="s">
        <v>340</v>
      </c>
      <c r="I74" s="12" t="s">
        <v>162</v>
      </c>
      <c r="J74" s="12"/>
      <c r="K74" s="12" t="s">
        <v>184</v>
      </c>
      <c r="L74" s="12" t="s">
        <v>341</v>
      </c>
      <c r="M74" s="12" t="s">
        <v>342</v>
      </c>
      <c r="N74" s="12"/>
      <c r="O74" s="13" t="s">
        <v>54</v>
      </c>
      <c r="P74" s="14"/>
    </row>
    <row r="75" customFormat="false" ht="57" hidden="false" customHeight="true" outlineLevel="0" collapsed="false">
      <c r="A75" s="12" t="n">
        <v>68</v>
      </c>
      <c r="B75" s="12" t="s">
        <v>308</v>
      </c>
      <c r="C75" s="12" t="s">
        <v>47</v>
      </c>
      <c r="D75" s="12" t="s">
        <v>343</v>
      </c>
      <c r="E75" s="12" t="s">
        <v>344</v>
      </c>
      <c r="F75" s="12" t="s">
        <v>345</v>
      </c>
      <c r="G75" s="12" t="n">
        <v>1</v>
      </c>
      <c r="H75" s="12" t="s">
        <v>203</v>
      </c>
      <c r="I75" s="12"/>
      <c r="J75" s="12" t="s">
        <v>99</v>
      </c>
      <c r="K75" s="12" t="s">
        <v>194</v>
      </c>
      <c r="L75" s="12" t="s">
        <v>346</v>
      </c>
      <c r="M75" s="12" t="s">
        <v>336</v>
      </c>
      <c r="N75" s="12"/>
      <c r="O75" s="13" t="s">
        <v>54</v>
      </c>
      <c r="P75" s="14"/>
    </row>
    <row r="76" customFormat="false" ht="34.5" hidden="false" customHeight="true" outlineLevel="0" collapsed="false">
      <c r="A76" s="12" t="n">
        <v>69</v>
      </c>
      <c r="B76" s="12" t="s">
        <v>308</v>
      </c>
      <c r="C76" s="12" t="s">
        <v>47</v>
      </c>
      <c r="D76" s="12" t="s">
        <v>347</v>
      </c>
      <c r="E76" s="12" t="s">
        <v>348</v>
      </c>
      <c r="F76" s="12" t="s">
        <v>327</v>
      </c>
      <c r="G76" s="12" t="n">
        <v>1</v>
      </c>
      <c r="H76" s="12" t="s">
        <v>50</v>
      </c>
      <c r="I76" s="12"/>
      <c r="J76" s="12"/>
      <c r="K76" s="12" t="s">
        <v>194</v>
      </c>
      <c r="L76" s="12"/>
      <c r="M76" s="12" t="s">
        <v>195</v>
      </c>
      <c r="N76" s="12"/>
      <c r="O76" s="13" t="s">
        <v>54</v>
      </c>
      <c r="P76" s="14"/>
    </row>
    <row r="77" customFormat="false" ht="45.75" hidden="false" customHeight="true" outlineLevel="0" collapsed="false">
      <c r="A77" s="12" t="n">
        <v>70</v>
      </c>
      <c r="B77" s="12" t="s">
        <v>308</v>
      </c>
      <c r="C77" s="12" t="s">
        <v>47</v>
      </c>
      <c r="D77" s="12" t="s">
        <v>349</v>
      </c>
      <c r="E77" s="12" t="s">
        <v>350</v>
      </c>
      <c r="F77" s="12" t="s">
        <v>208</v>
      </c>
      <c r="G77" s="12" t="n">
        <v>1</v>
      </c>
      <c r="H77" s="12" t="s">
        <v>203</v>
      </c>
      <c r="I77" s="12"/>
      <c r="J77" s="12" t="s">
        <v>77</v>
      </c>
      <c r="K77" s="12" t="s">
        <v>94</v>
      </c>
      <c r="L77" s="12" t="s">
        <v>351</v>
      </c>
      <c r="M77" s="12" t="s">
        <v>352</v>
      </c>
      <c r="N77" s="12"/>
      <c r="O77" s="13" t="s">
        <v>54</v>
      </c>
      <c r="P77" s="14"/>
    </row>
    <row r="78" customFormat="false" ht="45.75" hidden="false" customHeight="true" outlineLevel="0" collapsed="false">
      <c r="A78" s="12" t="n">
        <v>71</v>
      </c>
      <c r="B78" s="12" t="s">
        <v>308</v>
      </c>
      <c r="C78" s="12" t="s">
        <v>47</v>
      </c>
      <c r="D78" s="12" t="s">
        <v>353</v>
      </c>
      <c r="E78" s="12" t="s">
        <v>354</v>
      </c>
      <c r="F78" s="12" t="s">
        <v>355</v>
      </c>
      <c r="G78" s="12" t="n">
        <v>1</v>
      </c>
      <c r="H78" s="12" t="s">
        <v>340</v>
      </c>
      <c r="I78" s="12" t="s">
        <v>70</v>
      </c>
      <c r="J78" s="12"/>
      <c r="K78" s="12" t="s">
        <v>184</v>
      </c>
      <c r="L78" s="12" t="s">
        <v>356</v>
      </c>
      <c r="M78" s="12" t="s">
        <v>357</v>
      </c>
      <c r="N78" s="12"/>
      <c r="O78" s="13" t="s">
        <v>54</v>
      </c>
      <c r="P78" s="14"/>
    </row>
    <row r="79" customFormat="false" ht="23.25" hidden="false" customHeight="true" outlineLevel="0" collapsed="false">
      <c r="A79" s="12" t="n">
        <v>72</v>
      </c>
      <c r="B79" s="12" t="s">
        <v>308</v>
      </c>
      <c r="C79" s="12" t="s">
        <v>47</v>
      </c>
      <c r="D79" s="12" t="s">
        <v>358</v>
      </c>
      <c r="E79" s="12" t="s">
        <v>359</v>
      </c>
      <c r="F79" s="12" t="s">
        <v>360</v>
      </c>
      <c r="G79" s="12" t="n">
        <v>3</v>
      </c>
      <c r="H79" s="12" t="s">
        <v>76</v>
      </c>
      <c r="I79" s="12"/>
      <c r="J79" s="12" t="s">
        <v>77</v>
      </c>
      <c r="K79" s="12"/>
      <c r="L79" s="12"/>
      <c r="M79" s="12" t="s">
        <v>361</v>
      </c>
      <c r="N79" s="12"/>
      <c r="O79" s="13" t="s">
        <v>54</v>
      </c>
      <c r="P79" s="14"/>
    </row>
    <row r="80" customFormat="false" ht="23.25" hidden="false" customHeight="true" outlineLevel="0" collapsed="false">
      <c r="A80" s="12" t="n">
        <v>73</v>
      </c>
      <c r="B80" s="12" t="s">
        <v>308</v>
      </c>
      <c r="C80" s="12" t="s">
        <v>47</v>
      </c>
      <c r="D80" s="12" t="s">
        <v>362</v>
      </c>
      <c r="E80" s="12" t="s">
        <v>363</v>
      </c>
      <c r="F80" s="12" t="s">
        <v>364</v>
      </c>
      <c r="G80" s="12" t="n">
        <v>2</v>
      </c>
      <c r="H80" s="12" t="s">
        <v>50</v>
      </c>
      <c r="I80" s="12"/>
      <c r="J80" s="12"/>
      <c r="K80" s="12" t="s">
        <v>82</v>
      </c>
      <c r="L80" s="12"/>
      <c r="M80" s="12" t="s">
        <v>365</v>
      </c>
      <c r="N80" s="12"/>
      <c r="O80" s="13" t="s">
        <v>54</v>
      </c>
      <c r="P80" s="14"/>
    </row>
    <row r="81" customFormat="false" ht="57" hidden="false" customHeight="true" outlineLevel="0" collapsed="false">
      <c r="A81" s="12" t="n">
        <v>74</v>
      </c>
      <c r="B81" s="12" t="s">
        <v>308</v>
      </c>
      <c r="C81" s="12" t="s">
        <v>47</v>
      </c>
      <c r="D81" s="12" t="s">
        <v>366</v>
      </c>
      <c r="E81" s="12" t="s">
        <v>367</v>
      </c>
      <c r="F81" s="12" t="s">
        <v>368</v>
      </c>
      <c r="G81" s="12" t="n">
        <v>1</v>
      </c>
      <c r="H81" s="12" t="s">
        <v>203</v>
      </c>
      <c r="I81" s="12"/>
      <c r="J81" s="12" t="s">
        <v>99</v>
      </c>
      <c r="K81" s="12" t="s">
        <v>194</v>
      </c>
      <c r="L81" s="12" t="s">
        <v>369</v>
      </c>
      <c r="M81" s="12" t="s">
        <v>370</v>
      </c>
      <c r="N81" s="12"/>
      <c r="O81" s="13" t="s">
        <v>54</v>
      </c>
      <c r="P81" s="14"/>
    </row>
    <row r="82" customFormat="false" ht="23.25" hidden="false" customHeight="true" outlineLevel="0" collapsed="false">
      <c r="A82" s="12" t="n">
        <v>75</v>
      </c>
      <c r="B82" s="12" t="s">
        <v>308</v>
      </c>
      <c r="C82" s="12" t="s">
        <v>47</v>
      </c>
      <c r="D82" s="12" t="s">
        <v>371</v>
      </c>
      <c r="E82" s="12" t="s">
        <v>372</v>
      </c>
      <c r="F82" s="12" t="s">
        <v>81</v>
      </c>
      <c r="G82" s="12" t="n">
        <v>2</v>
      </c>
      <c r="H82" s="12" t="s">
        <v>50</v>
      </c>
      <c r="I82" s="12"/>
      <c r="J82" s="12"/>
      <c r="K82" s="12" t="s">
        <v>82</v>
      </c>
      <c r="L82" s="12"/>
      <c r="M82" s="12" t="s">
        <v>365</v>
      </c>
      <c r="N82" s="12"/>
      <c r="O82" s="13" t="s">
        <v>54</v>
      </c>
      <c r="P82" s="14"/>
    </row>
    <row r="83" customFormat="false" ht="23.25" hidden="false" customHeight="true" outlineLevel="0" collapsed="false">
      <c r="A83" s="12" t="n">
        <v>76</v>
      </c>
      <c r="B83" s="12" t="s">
        <v>308</v>
      </c>
      <c r="C83" s="12" t="s">
        <v>138</v>
      </c>
      <c r="D83" s="12" t="s">
        <v>373</v>
      </c>
      <c r="E83" s="12" t="s">
        <v>374</v>
      </c>
      <c r="F83" s="12" t="s">
        <v>318</v>
      </c>
      <c r="G83" s="12" t="n">
        <v>2</v>
      </c>
      <c r="H83" s="12" t="s">
        <v>153</v>
      </c>
      <c r="I83" s="12" t="s">
        <v>70</v>
      </c>
      <c r="J83" s="12"/>
      <c r="K83" s="12"/>
      <c r="L83" s="12"/>
      <c r="M83" s="12" t="s">
        <v>375</v>
      </c>
      <c r="N83" s="12"/>
      <c r="O83" s="13" t="s">
        <v>54</v>
      </c>
      <c r="P83" s="14"/>
    </row>
    <row r="84" customFormat="false" ht="34.5" hidden="false" customHeight="true" outlineLevel="0" collapsed="false">
      <c r="A84" s="12" t="n">
        <v>77</v>
      </c>
      <c r="B84" s="12" t="s">
        <v>308</v>
      </c>
      <c r="C84" s="12" t="s">
        <v>138</v>
      </c>
      <c r="D84" s="12" t="s">
        <v>376</v>
      </c>
      <c r="E84" s="12" t="s">
        <v>377</v>
      </c>
      <c r="F84" s="12" t="s">
        <v>378</v>
      </c>
      <c r="G84" s="12" t="n">
        <v>1</v>
      </c>
      <c r="H84" s="12" t="s">
        <v>50</v>
      </c>
      <c r="I84" s="12"/>
      <c r="J84" s="12"/>
      <c r="K84" s="12" t="s">
        <v>194</v>
      </c>
      <c r="L84" s="12"/>
      <c r="M84" s="12" t="s">
        <v>195</v>
      </c>
      <c r="N84" s="12"/>
      <c r="O84" s="13" t="s">
        <v>54</v>
      </c>
      <c r="P84" s="14"/>
    </row>
    <row r="85" customFormat="false" ht="34.5" hidden="false" customHeight="true" outlineLevel="0" collapsed="false">
      <c r="A85" s="12" t="n">
        <v>78</v>
      </c>
      <c r="B85" s="12" t="s">
        <v>308</v>
      </c>
      <c r="C85" s="12" t="s">
        <v>138</v>
      </c>
      <c r="D85" s="12" t="s">
        <v>379</v>
      </c>
      <c r="E85" s="12" t="s">
        <v>380</v>
      </c>
      <c r="F85" s="12" t="s">
        <v>318</v>
      </c>
      <c r="G85" s="12" t="n">
        <v>1</v>
      </c>
      <c r="H85" s="12" t="s">
        <v>153</v>
      </c>
      <c r="I85" s="12" t="s">
        <v>162</v>
      </c>
      <c r="J85" s="12"/>
      <c r="K85" s="12"/>
      <c r="L85" s="12"/>
      <c r="M85" s="12" t="s">
        <v>381</v>
      </c>
      <c r="N85" s="12"/>
      <c r="O85" s="13" t="s">
        <v>54</v>
      </c>
      <c r="P85" s="14"/>
    </row>
    <row r="86" customFormat="false" ht="34.5" hidden="false" customHeight="true" outlineLevel="0" collapsed="false">
      <c r="A86" s="12" t="n">
        <v>79</v>
      </c>
      <c r="B86" s="12" t="s">
        <v>308</v>
      </c>
      <c r="C86" s="12" t="s">
        <v>138</v>
      </c>
      <c r="D86" s="12" t="s">
        <v>382</v>
      </c>
      <c r="E86" s="12" t="s">
        <v>383</v>
      </c>
      <c r="F86" s="12" t="s">
        <v>384</v>
      </c>
      <c r="G86" s="12" t="n">
        <v>1</v>
      </c>
      <c r="H86" s="12" t="s">
        <v>50</v>
      </c>
      <c r="I86" s="12"/>
      <c r="J86" s="12"/>
      <c r="K86" s="12" t="s">
        <v>194</v>
      </c>
      <c r="L86" s="12"/>
      <c r="M86" s="12" t="s">
        <v>195</v>
      </c>
      <c r="N86" s="12"/>
      <c r="O86" s="13" t="s">
        <v>54</v>
      </c>
      <c r="P86" s="14"/>
    </row>
    <row r="87" customFormat="false" ht="34.5" hidden="false" customHeight="true" outlineLevel="0" collapsed="false">
      <c r="A87" s="12" t="n">
        <v>80</v>
      </c>
      <c r="B87" s="12" t="s">
        <v>308</v>
      </c>
      <c r="C87" s="12" t="s">
        <v>138</v>
      </c>
      <c r="D87" s="12" t="s">
        <v>385</v>
      </c>
      <c r="E87" s="12" t="s">
        <v>386</v>
      </c>
      <c r="F87" s="12" t="s">
        <v>384</v>
      </c>
      <c r="G87" s="12" t="n">
        <v>1</v>
      </c>
      <c r="H87" s="12" t="s">
        <v>50</v>
      </c>
      <c r="I87" s="12"/>
      <c r="J87" s="12"/>
      <c r="K87" s="12" t="s">
        <v>194</v>
      </c>
      <c r="L87" s="12"/>
      <c r="M87" s="12" t="s">
        <v>195</v>
      </c>
      <c r="N87" s="12"/>
      <c r="O87" s="13" t="s">
        <v>54</v>
      </c>
      <c r="P87" s="14"/>
    </row>
    <row r="88" customFormat="false" ht="15" hidden="false" customHeight="true" outlineLevel="0" collapsed="false">
      <c r="A88" s="10" t="s">
        <v>9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</row>
    <row r="89" customFormat="false" ht="15" hidden="false" customHeight="true" outlineLevel="0" collapsed="false">
      <c r="A89" s="12" t="n">
        <v>81</v>
      </c>
      <c r="B89" s="12" t="s">
        <v>387</v>
      </c>
      <c r="C89" s="12" t="s">
        <v>141</v>
      </c>
      <c r="D89" s="12" t="s">
        <v>388</v>
      </c>
      <c r="E89" s="12" t="s">
        <v>389</v>
      </c>
      <c r="F89" s="12" t="s">
        <v>318</v>
      </c>
      <c r="G89" s="12" t="n">
        <v>2</v>
      </c>
      <c r="H89" s="12" t="s">
        <v>153</v>
      </c>
      <c r="I89" s="12" t="s">
        <v>70</v>
      </c>
      <c r="J89" s="12"/>
      <c r="K89" s="12"/>
      <c r="L89" s="12"/>
      <c r="M89" s="12" t="s">
        <v>390</v>
      </c>
      <c r="N89" s="12"/>
      <c r="O89" s="13" t="s">
        <v>54</v>
      </c>
      <c r="P89" s="14"/>
    </row>
    <row r="90" customFormat="false" ht="23.25" hidden="false" customHeight="true" outlineLevel="0" collapsed="false">
      <c r="A90" s="12" t="n">
        <v>82</v>
      </c>
      <c r="B90" s="12" t="s">
        <v>387</v>
      </c>
      <c r="C90" s="12" t="s">
        <v>141</v>
      </c>
      <c r="D90" s="12" t="s">
        <v>391</v>
      </c>
      <c r="E90" s="12" t="s">
        <v>392</v>
      </c>
      <c r="F90" s="12"/>
      <c r="G90" s="12" t="n">
        <v>1</v>
      </c>
      <c r="H90" s="12" t="s">
        <v>50</v>
      </c>
      <c r="I90" s="12"/>
      <c r="J90" s="12"/>
      <c r="K90" s="12" t="s">
        <v>51</v>
      </c>
      <c r="L90" s="12"/>
      <c r="M90" s="12" t="s">
        <v>393</v>
      </c>
      <c r="N90" s="12" t="s">
        <v>394</v>
      </c>
      <c r="O90" s="13" t="s">
        <v>54</v>
      </c>
      <c r="P90" s="14"/>
    </row>
    <row r="91" customFormat="false" ht="45.75" hidden="false" customHeight="true" outlineLevel="0" collapsed="false">
      <c r="A91" s="12" t="n">
        <v>83</v>
      </c>
      <c r="B91" s="12" t="s">
        <v>387</v>
      </c>
      <c r="C91" s="12" t="s">
        <v>141</v>
      </c>
      <c r="D91" s="12" t="s">
        <v>395</v>
      </c>
      <c r="E91" s="12" t="s">
        <v>396</v>
      </c>
      <c r="F91" s="12" t="s">
        <v>397</v>
      </c>
      <c r="G91" s="12" t="n">
        <v>2</v>
      </c>
      <c r="H91" s="12" t="s">
        <v>242</v>
      </c>
      <c r="I91" s="12"/>
      <c r="J91" s="12"/>
      <c r="K91" s="12"/>
      <c r="L91" s="12" t="s">
        <v>398</v>
      </c>
      <c r="M91" s="12" t="s">
        <v>399</v>
      </c>
      <c r="N91" s="12"/>
      <c r="O91" s="13" t="s">
        <v>54</v>
      </c>
      <c r="P91" s="14"/>
    </row>
    <row r="92" customFormat="false" ht="34.5" hidden="false" customHeight="true" outlineLevel="0" collapsed="false">
      <c r="A92" s="12" t="n">
        <v>84</v>
      </c>
      <c r="B92" s="12" t="s">
        <v>387</v>
      </c>
      <c r="C92" s="12" t="s">
        <v>141</v>
      </c>
      <c r="D92" s="12" t="s">
        <v>400</v>
      </c>
      <c r="E92" s="12" t="s">
        <v>401</v>
      </c>
      <c r="F92" s="12" t="s">
        <v>402</v>
      </c>
      <c r="G92" s="12" t="n">
        <v>1</v>
      </c>
      <c r="H92" s="12" t="s">
        <v>50</v>
      </c>
      <c r="I92" s="12"/>
      <c r="J92" s="12"/>
      <c r="K92" s="12" t="s">
        <v>194</v>
      </c>
      <c r="L92" s="12"/>
      <c r="M92" s="12" t="s">
        <v>195</v>
      </c>
      <c r="N92" s="12"/>
      <c r="O92" s="13" t="s">
        <v>54</v>
      </c>
      <c r="P92" s="14"/>
    </row>
    <row r="93" customFormat="false" ht="23.25" hidden="false" customHeight="true" outlineLevel="0" collapsed="false">
      <c r="A93" s="12" t="n">
        <v>85</v>
      </c>
      <c r="B93" s="12" t="s">
        <v>387</v>
      </c>
      <c r="C93" s="12" t="s">
        <v>141</v>
      </c>
      <c r="D93" s="12" t="s">
        <v>403</v>
      </c>
      <c r="E93" s="12" t="s">
        <v>404</v>
      </c>
      <c r="F93" s="12" t="s">
        <v>198</v>
      </c>
      <c r="G93" s="12" t="n">
        <v>2</v>
      </c>
      <c r="H93" s="12" t="s">
        <v>50</v>
      </c>
      <c r="I93" s="12"/>
      <c r="J93" s="12"/>
      <c r="K93" s="12" t="s">
        <v>82</v>
      </c>
      <c r="L93" s="12"/>
      <c r="M93" s="12" t="s">
        <v>365</v>
      </c>
      <c r="N93" s="12"/>
      <c r="O93" s="13" t="s">
        <v>54</v>
      </c>
      <c r="P93" s="14"/>
    </row>
    <row r="94" customFormat="false" ht="34.5" hidden="false" customHeight="true" outlineLevel="0" collapsed="false">
      <c r="A94" s="12" t="n">
        <v>86</v>
      </c>
      <c r="B94" s="12" t="s">
        <v>387</v>
      </c>
      <c r="C94" s="12" t="s">
        <v>141</v>
      </c>
      <c r="D94" s="12" t="s">
        <v>405</v>
      </c>
      <c r="E94" s="12" t="s">
        <v>406</v>
      </c>
      <c r="F94" s="12" t="s">
        <v>407</v>
      </c>
      <c r="G94" s="12" t="n">
        <v>1</v>
      </c>
      <c r="H94" s="12" t="s">
        <v>50</v>
      </c>
      <c r="I94" s="12"/>
      <c r="J94" s="12"/>
      <c r="K94" s="12" t="s">
        <v>194</v>
      </c>
      <c r="L94" s="12"/>
      <c r="M94" s="12" t="s">
        <v>195</v>
      </c>
      <c r="N94" s="12"/>
      <c r="O94" s="13" t="s">
        <v>54</v>
      </c>
      <c r="P94" s="14"/>
    </row>
    <row r="95" customFormat="false" ht="23.25" hidden="false" customHeight="true" outlineLevel="0" collapsed="false">
      <c r="A95" s="12" t="n">
        <v>87</v>
      </c>
      <c r="B95" s="12" t="s">
        <v>387</v>
      </c>
      <c r="C95" s="12" t="s">
        <v>141</v>
      </c>
      <c r="D95" s="12" t="s">
        <v>408</v>
      </c>
      <c r="E95" s="12" t="s">
        <v>409</v>
      </c>
      <c r="F95" s="12" t="s">
        <v>223</v>
      </c>
      <c r="G95" s="12" t="n">
        <v>2</v>
      </c>
      <c r="H95" s="12" t="s">
        <v>135</v>
      </c>
      <c r="I95" s="12" t="s">
        <v>103</v>
      </c>
      <c r="J95" s="12" t="s">
        <v>104</v>
      </c>
      <c r="K95" s="12"/>
      <c r="L95" s="12"/>
      <c r="M95" s="12" t="s">
        <v>410</v>
      </c>
      <c r="N95" s="12"/>
      <c r="O95" s="13" t="s">
        <v>54</v>
      </c>
      <c r="P95" s="14"/>
    </row>
    <row r="96" customFormat="false" ht="45.75" hidden="false" customHeight="true" outlineLevel="0" collapsed="false">
      <c r="A96" s="12" t="n">
        <v>88</v>
      </c>
      <c r="B96" s="12" t="s">
        <v>387</v>
      </c>
      <c r="C96" s="12" t="s">
        <v>141</v>
      </c>
      <c r="D96" s="12" t="s">
        <v>411</v>
      </c>
      <c r="E96" s="12" t="s">
        <v>412</v>
      </c>
      <c r="F96" s="12" t="s">
        <v>413</v>
      </c>
      <c r="G96" s="12" t="n">
        <v>2</v>
      </c>
      <c r="H96" s="12" t="s">
        <v>242</v>
      </c>
      <c r="I96" s="12"/>
      <c r="J96" s="12"/>
      <c r="K96" s="12"/>
      <c r="L96" s="12" t="s">
        <v>414</v>
      </c>
      <c r="M96" s="12" t="s">
        <v>399</v>
      </c>
      <c r="N96" s="12"/>
      <c r="O96" s="13" t="s">
        <v>54</v>
      </c>
      <c r="P96" s="14"/>
    </row>
    <row r="97" customFormat="false" ht="45.75" hidden="false" customHeight="true" outlineLevel="0" collapsed="false">
      <c r="A97" s="12" t="n">
        <v>89</v>
      </c>
      <c r="B97" s="12" t="s">
        <v>387</v>
      </c>
      <c r="C97" s="12" t="s">
        <v>141</v>
      </c>
      <c r="D97" s="12" t="s">
        <v>415</v>
      </c>
      <c r="E97" s="12" t="s">
        <v>416</v>
      </c>
      <c r="F97" s="12" t="s">
        <v>318</v>
      </c>
      <c r="G97" s="12" t="n">
        <v>1</v>
      </c>
      <c r="H97" s="12" t="s">
        <v>98</v>
      </c>
      <c r="I97" s="12" t="s">
        <v>70</v>
      </c>
      <c r="J97" s="12" t="s">
        <v>99</v>
      </c>
      <c r="K97" s="12" t="s">
        <v>94</v>
      </c>
      <c r="L97" s="12"/>
      <c r="M97" s="12" t="s">
        <v>417</v>
      </c>
      <c r="N97" s="12" t="s">
        <v>418</v>
      </c>
      <c r="O97" s="13" t="s">
        <v>54</v>
      </c>
      <c r="P97" s="14"/>
    </row>
    <row r="98" customFormat="false" ht="23.25" hidden="false" customHeight="true" outlineLevel="0" collapsed="false">
      <c r="A98" s="12" t="n">
        <v>90</v>
      </c>
      <c r="B98" s="12" t="s">
        <v>387</v>
      </c>
      <c r="C98" s="12" t="s">
        <v>141</v>
      </c>
      <c r="D98" s="12" t="s">
        <v>419</v>
      </c>
      <c r="E98" s="12" t="s">
        <v>420</v>
      </c>
      <c r="F98" s="12" t="s">
        <v>421</v>
      </c>
      <c r="G98" s="12" t="n">
        <v>1</v>
      </c>
      <c r="H98" s="12" t="s">
        <v>76</v>
      </c>
      <c r="I98" s="12"/>
      <c r="J98" s="12" t="s">
        <v>77</v>
      </c>
      <c r="K98" s="12"/>
      <c r="L98" s="12"/>
      <c r="M98" s="12" t="s">
        <v>422</v>
      </c>
      <c r="N98" s="12"/>
      <c r="O98" s="13" t="s">
        <v>54</v>
      </c>
      <c r="P98" s="14"/>
    </row>
    <row r="99" customFormat="false" ht="15" hidden="false" customHeight="true" outlineLevel="0" collapsed="false">
      <c r="A99" s="12" t="n">
        <v>91</v>
      </c>
      <c r="B99" s="12" t="s">
        <v>387</v>
      </c>
      <c r="C99" s="12" t="s">
        <v>141</v>
      </c>
      <c r="D99" s="12" t="s">
        <v>423</v>
      </c>
      <c r="E99" s="12" t="s">
        <v>424</v>
      </c>
      <c r="F99" s="12" t="s">
        <v>223</v>
      </c>
      <c r="G99" s="12" t="n">
        <v>1</v>
      </c>
      <c r="H99" s="12" t="s">
        <v>135</v>
      </c>
      <c r="I99" s="12" t="s">
        <v>103</v>
      </c>
      <c r="J99" s="12" t="s">
        <v>104</v>
      </c>
      <c r="K99" s="12"/>
      <c r="L99" s="12"/>
      <c r="M99" s="12" t="s">
        <v>425</v>
      </c>
      <c r="N99" s="12"/>
      <c r="O99" s="13" t="s">
        <v>54</v>
      </c>
      <c r="P99" s="14"/>
    </row>
    <row r="100" customFormat="false" ht="23.25" hidden="false" customHeight="true" outlineLevel="0" collapsed="false">
      <c r="A100" s="12" t="n">
        <v>92</v>
      </c>
      <c r="B100" s="12" t="s">
        <v>387</v>
      </c>
      <c r="C100" s="12" t="s">
        <v>141</v>
      </c>
      <c r="D100" s="12" t="s">
        <v>426</v>
      </c>
      <c r="E100" s="12" t="s">
        <v>427</v>
      </c>
      <c r="F100" s="12" t="s">
        <v>421</v>
      </c>
      <c r="G100" s="12" t="n">
        <v>2</v>
      </c>
      <c r="H100" s="12" t="s">
        <v>76</v>
      </c>
      <c r="I100" s="12"/>
      <c r="J100" s="12" t="s">
        <v>77</v>
      </c>
      <c r="K100" s="12"/>
      <c r="L100" s="12"/>
      <c r="M100" s="12" t="s">
        <v>428</v>
      </c>
      <c r="N100" s="12"/>
      <c r="O100" s="13" t="s">
        <v>54</v>
      </c>
      <c r="P100" s="14"/>
    </row>
    <row r="101" customFormat="false" ht="23.25" hidden="false" customHeight="true" outlineLevel="0" collapsed="false">
      <c r="A101" s="12" t="n">
        <v>93</v>
      </c>
      <c r="B101" s="12" t="s">
        <v>387</v>
      </c>
      <c r="C101" s="12" t="s">
        <v>141</v>
      </c>
      <c r="D101" s="12" t="s">
        <v>429</v>
      </c>
      <c r="E101" s="12" t="s">
        <v>430</v>
      </c>
      <c r="F101" s="12" t="s">
        <v>421</v>
      </c>
      <c r="G101" s="12" t="n">
        <v>1</v>
      </c>
      <c r="H101" s="12" t="s">
        <v>76</v>
      </c>
      <c r="I101" s="12"/>
      <c r="J101" s="12" t="s">
        <v>77</v>
      </c>
      <c r="K101" s="12"/>
      <c r="L101" s="12"/>
      <c r="M101" s="12" t="s">
        <v>431</v>
      </c>
      <c r="N101" s="12"/>
      <c r="O101" s="13" t="s">
        <v>54</v>
      </c>
      <c r="P101" s="14"/>
    </row>
    <row r="102" customFormat="false" ht="15" hidden="false" customHeight="true" outlineLevel="0" collapsed="false">
      <c r="A102" s="12" t="n">
        <v>94</v>
      </c>
      <c r="B102" s="12" t="s">
        <v>387</v>
      </c>
      <c r="C102" s="12" t="s">
        <v>141</v>
      </c>
      <c r="D102" s="12" t="s">
        <v>432</v>
      </c>
      <c r="E102" s="12" t="s">
        <v>430</v>
      </c>
      <c r="F102" s="12" t="s">
        <v>223</v>
      </c>
      <c r="G102" s="12" t="n">
        <v>3</v>
      </c>
      <c r="H102" s="12" t="s">
        <v>76</v>
      </c>
      <c r="I102" s="12"/>
      <c r="J102" s="12" t="s">
        <v>99</v>
      </c>
      <c r="K102" s="12"/>
      <c r="L102" s="12"/>
      <c r="M102" s="12" t="s">
        <v>433</v>
      </c>
      <c r="N102" s="12"/>
      <c r="O102" s="13" t="s">
        <v>54</v>
      </c>
      <c r="P102" s="14"/>
    </row>
    <row r="103" customFormat="false" ht="34.5" hidden="false" customHeight="true" outlineLevel="0" collapsed="false">
      <c r="A103" s="12" t="n">
        <v>95</v>
      </c>
      <c r="B103" s="12" t="s">
        <v>387</v>
      </c>
      <c r="C103" s="12" t="s">
        <v>141</v>
      </c>
      <c r="D103" s="12" t="s">
        <v>434</v>
      </c>
      <c r="E103" s="12" t="s">
        <v>435</v>
      </c>
      <c r="F103" s="12" t="s">
        <v>436</v>
      </c>
      <c r="G103" s="12" t="n">
        <v>1</v>
      </c>
      <c r="H103" s="12" t="s">
        <v>50</v>
      </c>
      <c r="I103" s="12"/>
      <c r="J103" s="12"/>
      <c r="K103" s="12" t="s">
        <v>194</v>
      </c>
      <c r="L103" s="12"/>
      <c r="M103" s="12" t="s">
        <v>195</v>
      </c>
      <c r="N103" s="12" t="s">
        <v>418</v>
      </c>
      <c r="O103" s="13" t="s">
        <v>54</v>
      </c>
      <c r="P103" s="14"/>
    </row>
    <row r="104" customFormat="false" ht="23.25" hidden="false" customHeight="true" outlineLevel="0" collapsed="false">
      <c r="A104" s="12" t="n">
        <v>96</v>
      </c>
      <c r="B104" s="12" t="s">
        <v>387</v>
      </c>
      <c r="C104" s="12" t="s">
        <v>141</v>
      </c>
      <c r="D104" s="12" t="s">
        <v>437</v>
      </c>
      <c r="E104" s="12" t="s">
        <v>438</v>
      </c>
      <c r="F104" s="12" t="s">
        <v>198</v>
      </c>
      <c r="G104" s="12" t="n">
        <v>2</v>
      </c>
      <c r="H104" s="12" t="s">
        <v>50</v>
      </c>
      <c r="I104" s="12"/>
      <c r="J104" s="12"/>
      <c r="K104" s="12" t="s">
        <v>82</v>
      </c>
      <c r="L104" s="12"/>
      <c r="M104" s="12" t="s">
        <v>365</v>
      </c>
      <c r="N104" s="12"/>
      <c r="O104" s="13" t="s">
        <v>54</v>
      </c>
      <c r="P104" s="14"/>
    </row>
    <row r="105" customFormat="false" ht="23.25" hidden="false" customHeight="true" outlineLevel="0" collapsed="false">
      <c r="A105" s="12" t="n">
        <v>97</v>
      </c>
      <c r="B105" s="12" t="s">
        <v>387</v>
      </c>
      <c r="C105" s="12" t="s">
        <v>141</v>
      </c>
      <c r="D105" s="12" t="s">
        <v>439</v>
      </c>
      <c r="E105" s="12" t="s">
        <v>440</v>
      </c>
      <c r="F105" s="12"/>
      <c r="G105" s="12" t="n">
        <v>1</v>
      </c>
      <c r="H105" s="12" t="s">
        <v>50</v>
      </c>
      <c r="I105" s="12"/>
      <c r="J105" s="12"/>
      <c r="K105" s="12" t="s">
        <v>51</v>
      </c>
      <c r="L105" s="12"/>
      <c r="M105" s="12" t="s">
        <v>219</v>
      </c>
      <c r="N105" s="12" t="s">
        <v>220</v>
      </c>
      <c r="O105" s="13" t="s">
        <v>54</v>
      </c>
      <c r="P105" s="14"/>
    </row>
    <row r="106" customFormat="false" ht="45.75" hidden="false" customHeight="true" outlineLevel="0" collapsed="false">
      <c r="A106" s="12" t="n">
        <v>98</v>
      </c>
      <c r="B106" s="12" t="s">
        <v>387</v>
      </c>
      <c r="C106" s="12" t="s">
        <v>141</v>
      </c>
      <c r="D106" s="12" t="s">
        <v>441</v>
      </c>
      <c r="E106" s="12" t="s">
        <v>442</v>
      </c>
      <c r="F106" s="12" t="s">
        <v>443</v>
      </c>
      <c r="G106" s="12" t="n">
        <v>1</v>
      </c>
      <c r="H106" s="12" t="s">
        <v>340</v>
      </c>
      <c r="I106" s="12" t="s">
        <v>162</v>
      </c>
      <c r="J106" s="12"/>
      <c r="K106" s="12" t="s">
        <v>184</v>
      </c>
      <c r="L106" s="12" t="s">
        <v>444</v>
      </c>
      <c r="M106" s="12" t="s">
        <v>445</v>
      </c>
      <c r="N106" s="12" t="s">
        <v>446</v>
      </c>
      <c r="O106" s="13" t="s">
        <v>54</v>
      </c>
      <c r="P106" s="14"/>
    </row>
    <row r="107" customFormat="false" ht="23.25" hidden="false" customHeight="true" outlineLevel="0" collapsed="false">
      <c r="A107" s="12" t="n">
        <v>99</v>
      </c>
      <c r="B107" s="12" t="s">
        <v>387</v>
      </c>
      <c r="C107" s="12" t="s">
        <v>141</v>
      </c>
      <c r="D107" s="12" t="s">
        <v>447</v>
      </c>
      <c r="E107" s="12" t="s">
        <v>448</v>
      </c>
      <c r="F107" s="12" t="s">
        <v>449</v>
      </c>
      <c r="G107" s="12" t="n">
        <v>2</v>
      </c>
      <c r="H107" s="12" t="s">
        <v>153</v>
      </c>
      <c r="I107" s="12" t="s">
        <v>450</v>
      </c>
      <c r="J107" s="12"/>
      <c r="K107" s="12"/>
      <c r="L107" s="12"/>
      <c r="M107" s="12" t="s">
        <v>451</v>
      </c>
      <c r="N107" s="12"/>
      <c r="O107" s="13" t="s">
        <v>54</v>
      </c>
      <c r="P107" s="14"/>
    </row>
    <row r="108" customFormat="false" ht="15" hidden="false" customHeight="true" outlineLevel="0" collapsed="false">
      <c r="A108" s="12" t="n">
        <v>100</v>
      </c>
      <c r="B108" s="12" t="s">
        <v>387</v>
      </c>
      <c r="C108" s="12" t="s">
        <v>141</v>
      </c>
      <c r="D108" s="12" t="s">
        <v>452</v>
      </c>
      <c r="E108" s="12" t="s">
        <v>453</v>
      </c>
      <c r="F108" s="12" t="s">
        <v>318</v>
      </c>
      <c r="G108" s="12" t="n">
        <v>2</v>
      </c>
      <c r="H108" s="12" t="s">
        <v>153</v>
      </c>
      <c r="I108" s="12" t="s">
        <v>70</v>
      </c>
      <c r="J108" s="12"/>
      <c r="K108" s="12"/>
      <c r="L108" s="12"/>
      <c r="M108" s="12" t="s">
        <v>454</v>
      </c>
      <c r="N108" s="12"/>
      <c r="O108" s="13" t="s">
        <v>54</v>
      </c>
      <c r="P108" s="14"/>
    </row>
    <row r="109" customFormat="false" ht="23.25" hidden="false" customHeight="true" outlineLevel="0" collapsed="false">
      <c r="A109" s="12" t="n">
        <v>101</v>
      </c>
      <c r="B109" s="12" t="s">
        <v>387</v>
      </c>
      <c r="C109" s="12" t="s">
        <v>141</v>
      </c>
      <c r="D109" s="12" t="s">
        <v>455</v>
      </c>
      <c r="E109" s="12" t="s">
        <v>456</v>
      </c>
      <c r="F109" s="12"/>
      <c r="G109" s="12" t="n">
        <v>1</v>
      </c>
      <c r="H109" s="12" t="s">
        <v>50</v>
      </c>
      <c r="I109" s="12"/>
      <c r="J109" s="12"/>
      <c r="K109" s="12" t="s">
        <v>51</v>
      </c>
      <c r="L109" s="12"/>
      <c r="M109" s="12" t="s">
        <v>457</v>
      </c>
      <c r="N109" s="12" t="s">
        <v>458</v>
      </c>
      <c r="O109" s="13" t="s">
        <v>54</v>
      </c>
      <c r="P109" s="14"/>
    </row>
    <row r="110" customFormat="false" ht="57" hidden="false" customHeight="true" outlineLevel="0" collapsed="false">
      <c r="A110" s="12" t="n">
        <v>102</v>
      </c>
      <c r="B110" s="12" t="s">
        <v>387</v>
      </c>
      <c r="C110" s="12" t="s">
        <v>141</v>
      </c>
      <c r="D110" s="12" t="s">
        <v>459</v>
      </c>
      <c r="E110" s="12" t="s">
        <v>460</v>
      </c>
      <c r="F110" s="12" t="s">
        <v>461</v>
      </c>
      <c r="G110" s="12" t="n">
        <v>1</v>
      </c>
      <c r="H110" s="12" t="s">
        <v>50</v>
      </c>
      <c r="I110" s="12"/>
      <c r="J110" s="12"/>
      <c r="K110" s="12" t="s">
        <v>194</v>
      </c>
      <c r="L110" s="12"/>
      <c r="M110" s="12" t="s">
        <v>462</v>
      </c>
      <c r="N110" s="12" t="s">
        <v>463</v>
      </c>
      <c r="O110" s="13" t="s">
        <v>54</v>
      </c>
      <c r="P110" s="14"/>
    </row>
    <row r="111" customFormat="false" ht="15" hidden="false" customHeight="true" outlineLevel="0" collapsed="false">
      <c r="A111" s="12" t="n">
        <v>103</v>
      </c>
      <c r="B111" s="12" t="s">
        <v>387</v>
      </c>
      <c r="C111" s="12" t="s">
        <v>141</v>
      </c>
      <c r="D111" s="12" t="s">
        <v>464</v>
      </c>
      <c r="E111" s="12" t="s">
        <v>465</v>
      </c>
      <c r="F111" s="12" t="s">
        <v>223</v>
      </c>
      <c r="G111" s="12" t="n">
        <v>2</v>
      </c>
      <c r="H111" s="12" t="s">
        <v>153</v>
      </c>
      <c r="I111" s="12" t="s">
        <v>70</v>
      </c>
      <c r="J111" s="12"/>
      <c r="K111" s="12"/>
      <c r="L111" s="12"/>
      <c r="M111" s="12" t="s">
        <v>466</v>
      </c>
      <c r="N111" s="12"/>
      <c r="O111" s="13" t="s">
        <v>54</v>
      </c>
      <c r="P111" s="14"/>
    </row>
    <row r="112" customFormat="false" ht="15" hidden="false" customHeight="true" outlineLevel="0" collapsed="false">
      <c r="A112" s="10" t="s">
        <v>10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customFormat="false" ht="23.25" hidden="false" customHeight="true" outlineLevel="0" collapsed="false">
      <c r="A113" s="12" t="n">
        <v>104</v>
      </c>
      <c r="B113" s="12" t="s">
        <v>467</v>
      </c>
      <c r="C113" s="12" t="s">
        <v>468</v>
      </c>
      <c r="D113" s="12" t="s">
        <v>469</v>
      </c>
      <c r="E113" s="12" t="s">
        <v>470</v>
      </c>
      <c r="F113" s="12" t="s">
        <v>471</v>
      </c>
      <c r="G113" s="12" t="n">
        <v>2</v>
      </c>
      <c r="H113" s="12" t="s">
        <v>242</v>
      </c>
      <c r="I113" s="12"/>
      <c r="J113" s="12"/>
      <c r="K113" s="12"/>
      <c r="L113" s="12" t="s">
        <v>472</v>
      </c>
      <c r="M113" s="12" t="s">
        <v>473</v>
      </c>
      <c r="N113" s="12"/>
      <c r="O113" s="13" t="s">
        <v>54</v>
      </c>
      <c r="P113" s="14"/>
    </row>
    <row r="114" customFormat="false" ht="45.75" hidden="false" customHeight="true" outlineLevel="0" collapsed="false">
      <c r="A114" s="12" t="n">
        <v>105</v>
      </c>
      <c r="B114" s="12" t="s">
        <v>467</v>
      </c>
      <c r="C114" s="12" t="s">
        <v>468</v>
      </c>
      <c r="D114" s="12" t="s">
        <v>474</v>
      </c>
      <c r="E114" s="12" t="s">
        <v>475</v>
      </c>
      <c r="F114" s="12" t="s">
        <v>476</v>
      </c>
      <c r="G114" s="12" t="n">
        <v>2</v>
      </c>
      <c r="H114" s="12" t="s">
        <v>242</v>
      </c>
      <c r="I114" s="12"/>
      <c r="J114" s="12"/>
      <c r="K114" s="12"/>
      <c r="L114" s="12" t="s">
        <v>477</v>
      </c>
      <c r="M114" s="12" t="s">
        <v>478</v>
      </c>
      <c r="N114" s="12"/>
      <c r="O114" s="13" t="s">
        <v>54</v>
      </c>
      <c r="P114" s="14"/>
    </row>
    <row r="115" customFormat="false" ht="45.75" hidden="false" customHeight="true" outlineLevel="0" collapsed="false">
      <c r="A115" s="12" t="n">
        <v>106</v>
      </c>
      <c r="B115" s="12" t="s">
        <v>467</v>
      </c>
      <c r="C115" s="12" t="s">
        <v>468</v>
      </c>
      <c r="D115" s="12" t="s">
        <v>479</v>
      </c>
      <c r="E115" s="12" t="s">
        <v>480</v>
      </c>
      <c r="F115" s="12" t="s">
        <v>481</v>
      </c>
      <c r="G115" s="12" t="n">
        <v>2</v>
      </c>
      <c r="H115" s="12" t="s">
        <v>242</v>
      </c>
      <c r="I115" s="12"/>
      <c r="J115" s="12"/>
      <c r="K115" s="12"/>
      <c r="L115" s="12" t="s">
        <v>482</v>
      </c>
      <c r="M115" s="12" t="s">
        <v>483</v>
      </c>
      <c r="N115" s="12"/>
      <c r="O115" s="13" t="s">
        <v>54</v>
      </c>
      <c r="P115" s="14"/>
    </row>
    <row r="116" customFormat="false" ht="45.75" hidden="false" customHeight="true" outlineLevel="0" collapsed="false">
      <c r="A116" s="12" t="n">
        <v>107</v>
      </c>
      <c r="B116" s="12" t="s">
        <v>467</v>
      </c>
      <c r="C116" s="12" t="s">
        <v>468</v>
      </c>
      <c r="D116" s="12" t="s">
        <v>484</v>
      </c>
      <c r="E116" s="12" t="s">
        <v>485</v>
      </c>
      <c r="F116" s="12" t="s">
        <v>486</v>
      </c>
      <c r="G116" s="12" t="n">
        <v>2</v>
      </c>
      <c r="H116" s="12" t="s">
        <v>242</v>
      </c>
      <c r="I116" s="12"/>
      <c r="J116" s="12"/>
      <c r="K116" s="12"/>
      <c r="L116" s="12" t="s">
        <v>487</v>
      </c>
      <c r="M116" s="12" t="s">
        <v>488</v>
      </c>
      <c r="N116" s="12"/>
      <c r="O116" s="13" t="s">
        <v>54</v>
      </c>
      <c r="P116" s="14"/>
    </row>
    <row r="117" customFormat="false" ht="23.25" hidden="false" customHeight="true" outlineLevel="0" collapsed="false">
      <c r="A117" s="12" t="n">
        <v>108</v>
      </c>
      <c r="B117" s="12" t="s">
        <v>467</v>
      </c>
      <c r="C117" s="12" t="s">
        <v>468</v>
      </c>
      <c r="D117" s="12" t="s">
        <v>489</v>
      </c>
      <c r="E117" s="12" t="s">
        <v>490</v>
      </c>
      <c r="F117" s="12" t="s">
        <v>491</v>
      </c>
      <c r="G117" s="12" t="n">
        <v>2</v>
      </c>
      <c r="H117" s="12" t="s">
        <v>242</v>
      </c>
      <c r="I117" s="12"/>
      <c r="J117" s="12"/>
      <c r="K117" s="12"/>
      <c r="L117" s="12" t="s">
        <v>492</v>
      </c>
      <c r="M117" s="12" t="s">
        <v>493</v>
      </c>
      <c r="N117" s="12"/>
      <c r="O117" s="13" t="s">
        <v>54</v>
      </c>
      <c r="P117" s="14"/>
    </row>
    <row r="118" customFormat="false" ht="45.75" hidden="false" customHeight="true" outlineLevel="0" collapsed="false">
      <c r="A118" s="12" t="n">
        <v>109</v>
      </c>
      <c r="B118" s="12" t="s">
        <v>467</v>
      </c>
      <c r="C118" s="12" t="s">
        <v>494</v>
      </c>
      <c r="D118" s="12" t="s">
        <v>495</v>
      </c>
      <c r="E118" s="12" t="s">
        <v>496</v>
      </c>
      <c r="F118" s="12" t="s">
        <v>497</v>
      </c>
      <c r="G118" s="12" t="n">
        <v>2</v>
      </c>
      <c r="H118" s="12" t="s">
        <v>242</v>
      </c>
      <c r="I118" s="12"/>
      <c r="J118" s="12"/>
      <c r="K118" s="12"/>
      <c r="L118" s="12" t="s">
        <v>498</v>
      </c>
      <c r="M118" s="12" t="s">
        <v>499</v>
      </c>
      <c r="N118" s="12"/>
      <c r="O118" s="13" t="s">
        <v>54</v>
      </c>
      <c r="P118" s="14"/>
    </row>
    <row r="119" customFormat="false" ht="23.25" hidden="false" customHeight="true" outlineLevel="0" collapsed="false">
      <c r="A119" s="12" t="n">
        <v>110</v>
      </c>
      <c r="B119" s="12" t="s">
        <v>467</v>
      </c>
      <c r="C119" s="12" t="s">
        <v>500</v>
      </c>
      <c r="D119" s="12" t="s">
        <v>501</v>
      </c>
      <c r="E119" s="12" t="s">
        <v>502</v>
      </c>
      <c r="F119" s="12" t="s">
        <v>318</v>
      </c>
      <c r="G119" s="12" t="n">
        <v>3</v>
      </c>
      <c r="H119" s="12" t="s">
        <v>76</v>
      </c>
      <c r="I119" s="12"/>
      <c r="J119" s="12" t="s">
        <v>171</v>
      </c>
      <c r="K119" s="12"/>
      <c r="L119" s="12"/>
      <c r="M119" s="12" t="s">
        <v>503</v>
      </c>
      <c r="N119" s="12"/>
      <c r="O119" s="13" t="s">
        <v>54</v>
      </c>
      <c r="P119" s="14"/>
    </row>
    <row r="120" customFormat="false" ht="57" hidden="false" customHeight="true" outlineLevel="0" collapsed="false">
      <c r="A120" s="12" t="n">
        <v>111</v>
      </c>
      <c r="B120" s="12" t="s">
        <v>467</v>
      </c>
      <c r="C120" s="12" t="s">
        <v>504</v>
      </c>
      <c r="D120" s="12" t="s">
        <v>505</v>
      </c>
      <c r="E120" s="12" t="s">
        <v>506</v>
      </c>
      <c r="F120" s="12" t="s">
        <v>182</v>
      </c>
      <c r="G120" s="12" t="n">
        <v>2</v>
      </c>
      <c r="H120" s="12" t="s">
        <v>242</v>
      </c>
      <c r="I120" s="12"/>
      <c r="J120" s="12"/>
      <c r="K120" s="12"/>
      <c r="L120" s="12" t="s">
        <v>507</v>
      </c>
      <c r="M120" s="12" t="s">
        <v>508</v>
      </c>
      <c r="N120" s="12"/>
      <c r="O120" s="13" t="s">
        <v>54</v>
      </c>
      <c r="P120" s="14"/>
    </row>
    <row r="121" customFormat="false" ht="23.25" hidden="false" customHeight="true" outlineLevel="0" collapsed="false">
      <c r="A121" s="12" t="n">
        <v>112</v>
      </c>
      <c r="B121" s="12" t="s">
        <v>467</v>
      </c>
      <c r="C121" s="12" t="s">
        <v>504</v>
      </c>
      <c r="D121" s="12" t="s">
        <v>509</v>
      </c>
      <c r="E121" s="12" t="s">
        <v>510</v>
      </c>
      <c r="F121" s="12" t="s">
        <v>511</v>
      </c>
      <c r="G121" s="12" t="n">
        <v>2</v>
      </c>
      <c r="H121" s="12" t="s">
        <v>242</v>
      </c>
      <c r="I121" s="12"/>
      <c r="J121" s="12"/>
      <c r="K121" s="12"/>
      <c r="L121" s="12" t="s">
        <v>512</v>
      </c>
      <c r="M121" s="12" t="s">
        <v>513</v>
      </c>
      <c r="N121" s="12"/>
      <c r="O121" s="13" t="s">
        <v>54</v>
      </c>
      <c r="P121" s="14"/>
    </row>
    <row r="122" customFormat="false" ht="23.25" hidden="false" customHeight="true" outlineLevel="0" collapsed="false">
      <c r="A122" s="12" t="n">
        <v>113</v>
      </c>
      <c r="B122" s="12" t="s">
        <v>467</v>
      </c>
      <c r="C122" s="12" t="s">
        <v>504</v>
      </c>
      <c r="D122" s="12" t="s">
        <v>514</v>
      </c>
      <c r="E122" s="12" t="s">
        <v>515</v>
      </c>
      <c r="F122" s="12" t="s">
        <v>223</v>
      </c>
      <c r="G122" s="12" t="n">
        <v>2</v>
      </c>
      <c r="H122" s="12" t="s">
        <v>76</v>
      </c>
      <c r="I122" s="12"/>
      <c r="J122" s="12" t="s">
        <v>77</v>
      </c>
      <c r="K122" s="12"/>
      <c r="L122" s="12"/>
      <c r="M122" s="12" t="s">
        <v>516</v>
      </c>
      <c r="N122" s="12"/>
      <c r="O122" s="13" t="s">
        <v>54</v>
      </c>
      <c r="P122" s="14"/>
    </row>
    <row r="123" customFormat="false" ht="34.5" hidden="false" customHeight="true" outlineLevel="0" collapsed="false">
      <c r="A123" s="12" t="n">
        <v>114</v>
      </c>
      <c r="B123" s="12" t="s">
        <v>467</v>
      </c>
      <c r="C123" s="12" t="s">
        <v>504</v>
      </c>
      <c r="D123" s="12" t="s">
        <v>517</v>
      </c>
      <c r="E123" s="12" t="s">
        <v>518</v>
      </c>
      <c r="F123" s="12" t="s">
        <v>223</v>
      </c>
      <c r="G123" s="12" t="n">
        <v>2</v>
      </c>
      <c r="H123" s="12" t="s">
        <v>153</v>
      </c>
      <c r="I123" s="12" t="s">
        <v>162</v>
      </c>
      <c r="J123" s="12"/>
      <c r="K123" s="12"/>
      <c r="L123" s="12"/>
      <c r="M123" s="12" t="s">
        <v>519</v>
      </c>
      <c r="N123" s="12"/>
      <c r="O123" s="13" t="s">
        <v>54</v>
      </c>
      <c r="P123" s="14"/>
    </row>
    <row r="124" customFormat="false" ht="45.75" hidden="false" customHeight="true" outlineLevel="0" collapsed="false">
      <c r="A124" s="12" t="n">
        <v>115</v>
      </c>
      <c r="B124" s="12" t="s">
        <v>467</v>
      </c>
      <c r="C124" s="12" t="s">
        <v>504</v>
      </c>
      <c r="D124" s="12" t="s">
        <v>520</v>
      </c>
      <c r="E124" s="12" t="s">
        <v>521</v>
      </c>
      <c r="F124" s="12" t="s">
        <v>208</v>
      </c>
      <c r="G124" s="12" t="n">
        <v>2</v>
      </c>
      <c r="H124" s="12" t="s">
        <v>176</v>
      </c>
      <c r="I124" s="12"/>
      <c r="J124" s="12" t="s">
        <v>77</v>
      </c>
      <c r="K124" s="12"/>
      <c r="L124" s="12" t="s">
        <v>522</v>
      </c>
      <c r="M124" s="12" t="s">
        <v>523</v>
      </c>
      <c r="N124" s="12"/>
      <c r="O124" s="13" t="s">
        <v>54</v>
      </c>
      <c r="P124" s="14"/>
    </row>
    <row r="125" customFormat="false" ht="23.25" hidden="false" customHeight="true" outlineLevel="0" collapsed="false">
      <c r="A125" s="12" t="n">
        <v>116</v>
      </c>
      <c r="B125" s="12" t="s">
        <v>467</v>
      </c>
      <c r="C125" s="12" t="s">
        <v>504</v>
      </c>
      <c r="D125" s="12" t="s">
        <v>524</v>
      </c>
      <c r="E125" s="12" t="s">
        <v>525</v>
      </c>
      <c r="F125" s="12" t="s">
        <v>526</v>
      </c>
      <c r="G125" s="12" t="n">
        <v>2</v>
      </c>
      <c r="H125" s="12" t="s">
        <v>242</v>
      </c>
      <c r="I125" s="12"/>
      <c r="J125" s="12"/>
      <c r="K125" s="12"/>
      <c r="L125" s="12" t="s">
        <v>527</v>
      </c>
      <c r="M125" s="12" t="s">
        <v>528</v>
      </c>
      <c r="N125" s="12"/>
      <c r="O125" s="13" t="s">
        <v>54</v>
      </c>
      <c r="P125" s="14"/>
    </row>
    <row r="126" customFormat="false" ht="34.5" hidden="false" customHeight="true" outlineLevel="0" collapsed="false">
      <c r="A126" s="12" t="n">
        <v>117</v>
      </c>
      <c r="B126" s="12" t="s">
        <v>467</v>
      </c>
      <c r="C126" s="12" t="s">
        <v>529</v>
      </c>
      <c r="D126" s="12" t="s">
        <v>530</v>
      </c>
      <c r="E126" s="12" t="s">
        <v>531</v>
      </c>
      <c r="F126" s="12" t="s">
        <v>532</v>
      </c>
      <c r="G126" s="12" t="n">
        <v>2</v>
      </c>
      <c r="H126" s="12" t="s">
        <v>153</v>
      </c>
      <c r="I126" s="12" t="s">
        <v>162</v>
      </c>
      <c r="J126" s="12"/>
      <c r="K126" s="12"/>
      <c r="L126" s="12"/>
      <c r="M126" s="12" t="s">
        <v>163</v>
      </c>
      <c r="N126" s="12" t="s">
        <v>533</v>
      </c>
      <c r="O126" s="13" t="s">
        <v>54</v>
      </c>
      <c r="P126" s="14"/>
    </row>
    <row r="127" customFormat="false" ht="23.25" hidden="false" customHeight="true" outlineLevel="0" collapsed="false">
      <c r="A127" s="12" t="n">
        <v>118</v>
      </c>
      <c r="B127" s="12" t="s">
        <v>467</v>
      </c>
      <c r="C127" s="12" t="s">
        <v>529</v>
      </c>
      <c r="D127" s="12" t="s">
        <v>534</v>
      </c>
      <c r="E127" s="12" t="s">
        <v>535</v>
      </c>
      <c r="F127" s="12" t="s">
        <v>536</v>
      </c>
      <c r="G127" s="12" t="n">
        <v>3</v>
      </c>
      <c r="H127" s="12" t="s">
        <v>76</v>
      </c>
      <c r="I127" s="12"/>
      <c r="J127" s="12" t="s">
        <v>77</v>
      </c>
      <c r="K127" s="12"/>
      <c r="L127" s="12"/>
      <c r="M127" s="12" t="s">
        <v>537</v>
      </c>
      <c r="N127" s="12"/>
      <c r="O127" s="13" t="s">
        <v>54</v>
      </c>
      <c r="P127" s="14"/>
    </row>
    <row r="128" customFormat="false" ht="23.25" hidden="false" customHeight="true" outlineLevel="0" collapsed="false">
      <c r="A128" s="12" t="n">
        <v>119</v>
      </c>
      <c r="B128" s="12" t="s">
        <v>467</v>
      </c>
      <c r="C128" s="12" t="s">
        <v>529</v>
      </c>
      <c r="D128" s="12" t="s">
        <v>538</v>
      </c>
      <c r="E128" s="12" t="s">
        <v>539</v>
      </c>
      <c r="F128" s="12" t="s">
        <v>540</v>
      </c>
      <c r="G128" s="12" t="n">
        <v>2</v>
      </c>
      <c r="H128" s="12" t="s">
        <v>242</v>
      </c>
      <c r="I128" s="12"/>
      <c r="J128" s="12"/>
      <c r="K128" s="12"/>
      <c r="L128" s="12" t="s">
        <v>541</v>
      </c>
      <c r="M128" s="12" t="s">
        <v>542</v>
      </c>
      <c r="N128" s="12"/>
      <c r="O128" s="13" t="s">
        <v>54</v>
      </c>
      <c r="P128" s="14"/>
    </row>
    <row r="129" customFormat="false" ht="23.25" hidden="false" customHeight="true" outlineLevel="0" collapsed="false">
      <c r="A129" s="12" t="n">
        <v>120</v>
      </c>
      <c r="B129" s="12" t="s">
        <v>467</v>
      </c>
      <c r="C129" s="12" t="s">
        <v>543</v>
      </c>
      <c r="D129" s="12" t="s">
        <v>544</v>
      </c>
      <c r="E129" s="12" t="s">
        <v>545</v>
      </c>
      <c r="F129" s="12" t="s">
        <v>536</v>
      </c>
      <c r="G129" s="12" t="n">
        <v>3</v>
      </c>
      <c r="H129" s="12" t="s">
        <v>76</v>
      </c>
      <c r="I129" s="12"/>
      <c r="J129" s="12" t="s">
        <v>77</v>
      </c>
      <c r="K129" s="12"/>
      <c r="L129" s="12"/>
      <c r="M129" s="12" t="s">
        <v>537</v>
      </c>
      <c r="N129" s="12"/>
      <c r="O129" s="13" t="s">
        <v>54</v>
      </c>
      <c r="P129" s="14"/>
    </row>
    <row r="130" customFormat="false" ht="23.25" hidden="false" customHeight="true" outlineLevel="0" collapsed="false">
      <c r="A130" s="12" t="n">
        <v>121</v>
      </c>
      <c r="B130" s="12" t="s">
        <v>467</v>
      </c>
      <c r="C130" s="12" t="s">
        <v>546</v>
      </c>
      <c r="D130" s="12" t="s">
        <v>547</v>
      </c>
      <c r="E130" s="12" t="s">
        <v>548</v>
      </c>
      <c r="F130" s="12" t="s">
        <v>549</v>
      </c>
      <c r="G130" s="12" t="n">
        <v>2</v>
      </c>
      <c r="H130" s="12" t="s">
        <v>242</v>
      </c>
      <c r="I130" s="12"/>
      <c r="J130" s="12"/>
      <c r="K130" s="12"/>
      <c r="L130" s="12" t="s">
        <v>550</v>
      </c>
      <c r="M130" s="12" t="s">
        <v>551</v>
      </c>
      <c r="N130" s="12"/>
      <c r="O130" s="13" t="s">
        <v>54</v>
      </c>
      <c r="P130" s="14"/>
    </row>
    <row r="131" customFormat="false" ht="34.5" hidden="false" customHeight="true" outlineLevel="0" collapsed="false">
      <c r="A131" s="12" t="n">
        <v>122</v>
      </c>
      <c r="B131" s="12" t="s">
        <v>467</v>
      </c>
      <c r="C131" s="12" t="s">
        <v>552</v>
      </c>
      <c r="D131" s="12" t="s">
        <v>553</v>
      </c>
      <c r="E131" s="12" t="s">
        <v>554</v>
      </c>
      <c r="F131" s="12" t="s">
        <v>318</v>
      </c>
      <c r="G131" s="12" t="n">
        <v>2</v>
      </c>
      <c r="H131" s="12" t="s">
        <v>153</v>
      </c>
      <c r="I131" s="12" t="s">
        <v>162</v>
      </c>
      <c r="J131" s="12"/>
      <c r="K131" s="12"/>
      <c r="L131" s="12"/>
      <c r="M131" s="12" t="s">
        <v>555</v>
      </c>
      <c r="N131" s="12"/>
      <c r="O131" s="13" t="s">
        <v>54</v>
      </c>
      <c r="P131" s="14"/>
    </row>
    <row r="132" customFormat="false" ht="23.25" hidden="false" customHeight="true" outlineLevel="0" collapsed="false">
      <c r="A132" s="12" t="n">
        <v>123</v>
      </c>
      <c r="B132" s="12" t="s">
        <v>467</v>
      </c>
      <c r="C132" s="12" t="s">
        <v>552</v>
      </c>
      <c r="D132" s="12" t="s">
        <v>556</v>
      </c>
      <c r="E132" s="12" t="s">
        <v>557</v>
      </c>
      <c r="F132" s="12" t="s">
        <v>558</v>
      </c>
      <c r="G132" s="12" t="n">
        <v>3</v>
      </c>
      <c r="H132" s="12" t="s">
        <v>176</v>
      </c>
      <c r="I132" s="12"/>
      <c r="J132" s="12" t="s">
        <v>99</v>
      </c>
      <c r="K132" s="12"/>
      <c r="L132" s="12" t="s">
        <v>559</v>
      </c>
      <c r="M132" s="12" t="s">
        <v>560</v>
      </c>
      <c r="N132" s="12"/>
      <c r="O132" s="13" t="s">
        <v>54</v>
      </c>
      <c r="P132" s="14"/>
    </row>
    <row r="133" customFormat="false" ht="45.75" hidden="false" customHeight="true" outlineLevel="0" collapsed="false">
      <c r="A133" s="12" t="n">
        <v>124</v>
      </c>
      <c r="B133" s="12" t="s">
        <v>467</v>
      </c>
      <c r="C133" s="12" t="s">
        <v>552</v>
      </c>
      <c r="D133" s="12" t="s">
        <v>561</v>
      </c>
      <c r="E133" s="12" t="s">
        <v>562</v>
      </c>
      <c r="F133" s="12" t="s">
        <v>563</v>
      </c>
      <c r="G133" s="12" t="n">
        <v>2</v>
      </c>
      <c r="H133" s="12" t="s">
        <v>242</v>
      </c>
      <c r="I133" s="12"/>
      <c r="J133" s="12"/>
      <c r="K133" s="12"/>
      <c r="L133" s="12" t="s">
        <v>564</v>
      </c>
      <c r="M133" s="12" t="s">
        <v>565</v>
      </c>
      <c r="N133" s="12"/>
      <c r="O133" s="13" t="s">
        <v>54</v>
      </c>
      <c r="P133" s="14"/>
    </row>
    <row r="134" customFormat="false" ht="15" hidden="false" customHeight="true" outlineLevel="0" collapsed="false">
      <c r="A134" s="10" t="s">
        <v>11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customFormat="false" ht="23.25" hidden="false" customHeight="true" outlineLevel="0" collapsed="false">
      <c r="A135" s="12" t="n">
        <v>125</v>
      </c>
      <c r="B135" s="12" t="s">
        <v>566</v>
      </c>
      <c r="C135" s="12" t="s">
        <v>567</v>
      </c>
      <c r="D135" s="12" t="s">
        <v>568</v>
      </c>
      <c r="E135" s="12" t="s">
        <v>569</v>
      </c>
      <c r="F135" s="12" t="s">
        <v>570</v>
      </c>
      <c r="G135" s="12" t="n">
        <v>2</v>
      </c>
      <c r="H135" s="12" t="s">
        <v>242</v>
      </c>
      <c r="I135" s="12"/>
      <c r="J135" s="12"/>
      <c r="K135" s="12"/>
      <c r="L135" s="12" t="s">
        <v>571</v>
      </c>
      <c r="M135" s="12" t="s">
        <v>572</v>
      </c>
      <c r="N135" s="12"/>
      <c r="O135" s="13" t="s">
        <v>54</v>
      </c>
      <c r="P135" s="14"/>
    </row>
    <row r="136" customFormat="false" ht="23.25" hidden="false" customHeight="true" outlineLevel="0" collapsed="false">
      <c r="A136" s="12" t="n">
        <v>126</v>
      </c>
      <c r="B136" s="12" t="s">
        <v>566</v>
      </c>
      <c r="C136" s="12" t="s">
        <v>573</v>
      </c>
      <c r="D136" s="12" t="s">
        <v>574</v>
      </c>
      <c r="E136" s="12" t="s">
        <v>575</v>
      </c>
      <c r="F136" s="12" t="s">
        <v>227</v>
      </c>
      <c r="G136" s="12" t="n">
        <v>2</v>
      </c>
      <c r="H136" s="12" t="s">
        <v>76</v>
      </c>
      <c r="I136" s="12"/>
      <c r="J136" s="12" t="s">
        <v>77</v>
      </c>
      <c r="K136" s="12"/>
      <c r="L136" s="12"/>
      <c r="M136" s="12" t="s">
        <v>576</v>
      </c>
      <c r="N136" s="12"/>
      <c r="O136" s="13" t="s">
        <v>54</v>
      </c>
      <c r="P136" s="14"/>
    </row>
    <row r="137" customFormat="false" ht="23.25" hidden="false" customHeight="true" outlineLevel="0" collapsed="false">
      <c r="A137" s="12" t="n">
        <v>127</v>
      </c>
      <c r="B137" s="12" t="s">
        <v>566</v>
      </c>
      <c r="C137" s="12" t="s">
        <v>573</v>
      </c>
      <c r="D137" s="12" t="s">
        <v>577</v>
      </c>
      <c r="E137" s="12" t="s">
        <v>578</v>
      </c>
      <c r="F137" s="12" t="s">
        <v>579</v>
      </c>
      <c r="G137" s="12" t="n">
        <v>3</v>
      </c>
      <c r="H137" s="12" t="s">
        <v>176</v>
      </c>
      <c r="I137" s="12"/>
      <c r="J137" s="12" t="s">
        <v>99</v>
      </c>
      <c r="K137" s="12"/>
      <c r="L137" s="12" t="s">
        <v>580</v>
      </c>
      <c r="M137" s="12" t="s">
        <v>581</v>
      </c>
      <c r="N137" s="12"/>
      <c r="O137" s="13" t="s">
        <v>54</v>
      </c>
      <c r="P137" s="14"/>
    </row>
    <row r="138" customFormat="false" ht="15" hidden="false" customHeight="true" outlineLevel="0" collapsed="false">
      <c r="A138" s="10" t="s">
        <v>12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 customFormat="false" ht="45.75" hidden="false" customHeight="true" outlineLevel="0" collapsed="false">
      <c r="A139" s="12" t="n">
        <v>128</v>
      </c>
      <c r="B139" s="12" t="s">
        <v>582</v>
      </c>
      <c r="C139" s="12" t="s">
        <v>583</v>
      </c>
      <c r="D139" s="12" t="s">
        <v>584</v>
      </c>
      <c r="E139" s="12" t="s">
        <v>585</v>
      </c>
      <c r="F139" s="12" t="s">
        <v>586</v>
      </c>
      <c r="G139" s="12" t="n">
        <v>2</v>
      </c>
      <c r="H139" s="12" t="s">
        <v>242</v>
      </c>
      <c r="I139" s="12"/>
      <c r="J139" s="12"/>
      <c r="K139" s="12"/>
      <c r="L139" s="12" t="s">
        <v>587</v>
      </c>
      <c r="M139" s="12" t="s">
        <v>588</v>
      </c>
      <c r="N139" s="12"/>
      <c r="O139" s="13" t="s">
        <v>54</v>
      </c>
      <c r="P139" s="14"/>
    </row>
    <row r="140" customFormat="false" ht="45.75" hidden="false" customHeight="true" outlineLevel="0" collapsed="false">
      <c r="A140" s="12" t="n">
        <v>129</v>
      </c>
      <c r="B140" s="12" t="s">
        <v>582</v>
      </c>
      <c r="C140" s="12" t="s">
        <v>47</v>
      </c>
      <c r="D140" s="12" t="s">
        <v>589</v>
      </c>
      <c r="E140" s="12" t="s">
        <v>590</v>
      </c>
      <c r="F140" s="12" t="s">
        <v>591</v>
      </c>
      <c r="G140" s="12" t="n">
        <v>1</v>
      </c>
      <c r="H140" s="12" t="s">
        <v>176</v>
      </c>
      <c r="I140" s="12"/>
      <c r="J140" s="12" t="s">
        <v>99</v>
      </c>
      <c r="K140" s="12"/>
      <c r="L140" s="12" t="s">
        <v>592</v>
      </c>
      <c r="M140" s="12" t="s">
        <v>593</v>
      </c>
      <c r="N140" s="12"/>
      <c r="O140" s="13" t="s">
        <v>54</v>
      </c>
      <c r="P140" s="14"/>
    </row>
    <row r="141" customFormat="false" ht="15" hidden="false" customHeight="true" outlineLevel="0" collapsed="false">
      <c r="A141" s="12" t="n">
        <v>130</v>
      </c>
      <c r="B141" s="12" t="s">
        <v>582</v>
      </c>
      <c r="C141" s="12" t="s">
        <v>594</v>
      </c>
      <c r="D141" s="12" t="s">
        <v>595</v>
      </c>
      <c r="E141" s="12" t="s">
        <v>596</v>
      </c>
      <c r="F141" s="12" t="s">
        <v>597</v>
      </c>
      <c r="G141" s="12" t="n">
        <v>3</v>
      </c>
      <c r="H141" s="12" t="s">
        <v>76</v>
      </c>
      <c r="I141" s="12"/>
      <c r="J141" s="12" t="s">
        <v>99</v>
      </c>
      <c r="K141" s="12"/>
      <c r="L141" s="12"/>
      <c r="M141" s="12" t="s">
        <v>433</v>
      </c>
      <c r="N141" s="12"/>
      <c r="O141" s="13" t="s">
        <v>54</v>
      </c>
      <c r="P141" s="14"/>
    </row>
    <row r="142" customFormat="false" ht="23.25" hidden="false" customHeight="true" outlineLevel="0" collapsed="false">
      <c r="A142" s="12" t="n">
        <v>131</v>
      </c>
      <c r="B142" s="12" t="s">
        <v>582</v>
      </c>
      <c r="C142" s="12" t="s">
        <v>598</v>
      </c>
      <c r="D142" s="12" t="s">
        <v>599</v>
      </c>
      <c r="E142" s="12" t="s">
        <v>600</v>
      </c>
      <c r="F142" s="12" t="s">
        <v>601</v>
      </c>
      <c r="G142" s="12" t="n">
        <v>1</v>
      </c>
      <c r="H142" s="12" t="s">
        <v>76</v>
      </c>
      <c r="I142" s="12"/>
      <c r="J142" s="12" t="s">
        <v>99</v>
      </c>
      <c r="K142" s="12"/>
      <c r="L142" s="12"/>
      <c r="M142" s="12" t="s">
        <v>602</v>
      </c>
      <c r="N142" s="12"/>
      <c r="O142" s="12"/>
      <c r="P142" s="14"/>
    </row>
  </sheetData>
  <autoFilter ref="A4:P142"/>
  <hyperlinks>
    <hyperlink ref="O6" r:id="rId1" display="Open"/>
    <hyperlink ref="O7" r:id="rId2" display="Open"/>
    <hyperlink ref="O8" r:id="rId3" display="Open"/>
    <hyperlink ref="O9" r:id="rId4" display="Open"/>
    <hyperlink ref="O10" r:id="rId5" display="Open"/>
    <hyperlink ref="O11" r:id="rId6" display="Open"/>
    <hyperlink ref="O12" r:id="rId7" display="Open"/>
    <hyperlink ref="O13" r:id="rId8" display="Open"/>
    <hyperlink ref="O14" r:id="rId9" display="Open"/>
    <hyperlink ref="O15" r:id="rId10" display="Open"/>
    <hyperlink ref="O16" r:id="rId11" display="Open"/>
    <hyperlink ref="O17" r:id="rId12" display="Open"/>
    <hyperlink ref="O18" r:id="rId13" display="Open"/>
    <hyperlink ref="O19" r:id="rId14" display="Open"/>
    <hyperlink ref="O20" r:id="rId15" display="Open"/>
    <hyperlink ref="O21" r:id="rId16" display="Open"/>
    <hyperlink ref="O22" r:id="rId17" display="Open"/>
    <hyperlink ref="O23" r:id="rId18" display="Open"/>
    <hyperlink ref="O24" r:id="rId19" display="Open"/>
    <hyperlink ref="O25" r:id="rId20" display="Open"/>
    <hyperlink ref="O26" r:id="rId21" display="Open"/>
    <hyperlink ref="O27" r:id="rId22" display="Open"/>
    <hyperlink ref="O28" r:id="rId23" display="Open"/>
    <hyperlink ref="O29" r:id="rId24" display="Open"/>
    <hyperlink ref="O30" r:id="rId25" display="Open"/>
    <hyperlink ref="O31" r:id="rId26" display="Open"/>
    <hyperlink ref="O32" r:id="rId27" display="Open"/>
    <hyperlink ref="O33" r:id="rId28" display="Open"/>
    <hyperlink ref="O35" r:id="rId29" display="Open"/>
    <hyperlink ref="O36" r:id="rId30" display="Open"/>
    <hyperlink ref="O37" r:id="rId31" display="Open"/>
    <hyperlink ref="O38" r:id="rId32" display="Open"/>
    <hyperlink ref="O39" r:id="rId33" display="Open"/>
    <hyperlink ref="O40" r:id="rId34" display="Open"/>
    <hyperlink ref="O41" r:id="rId35" display="Open"/>
    <hyperlink ref="O42" r:id="rId36" display="Open"/>
    <hyperlink ref="O43" r:id="rId37" display="Open"/>
    <hyperlink ref="O44" r:id="rId38" display="Open"/>
    <hyperlink ref="O45" r:id="rId39" display="Open"/>
    <hyperlink ref="O46" r:id="rId40" display="Open"/>
    <hyperlink ref="O47" r:id="rId41" display="Open"/>
    <hyperlink ref="O48" r:id="rId42" display="Open"/>
    <hyperlink ref="O49" r:id="rId43" display="Open"/>
    <hyperlink ref="O50" r:id="rId44" display="Open"/>
    <hyperlink ref="O51" r:id="rId45" display="Open"/>
    <hyperlink ref="O52" r:id="rId46" display="Open"/>
    <hyperlink ref="O53" r:id="rId47" display="Open"/>
    <hyperlink ref="O54" r:id="rId48" display="Open"/>
    <hyperlink ref="O55" r:id="rId49" display="Open"/>
    <hyperlink ref="O56" r:id="rId50" display="Open"/>
    <hyperlink ref="O57" r:id="rId51" display="Open"/>
    <hyperlink ref="O58" r:id="rId52" display="Open"/>
    <hyperlink ref="O59" r:id="rId53" display="Open"/>
    <hyperlink ref="O60" r:id="rId54" display="Open"/>
    <hyperlink ref="O61" r:id="rId55" display="Open"/>
    <hyperlink ref="O62" r:id="rId56" display="Open"/>
    <hyperlink ref="O63" r:id="rId57" display="Open"/>
    <hyperlink ref="O64" r:id="rId58" display="Open"/>
    <hyperlink ref="O65" r:id="rId59" display="Open"/>
    <hyperlink ref="O67" r:id="rId60" display="Open"/>
    <hyperlink ref="O68" r:id="rId61" display="Open"/>
    <hyperlink ref="O69" r:id="rId62" display="Open"/>
    <hyperlink ref="O70" r:id="rId63" display="Open"/>
    <hyperlink ref="O71" r:id="rId64" display="Open"/>
    <hyperlink ref="O72" r:id="rId65" display="Open"/>
    <hyperlink ref="O73" r:id="rId66" display="Open"/>
    <hyperlink ref="O74" r:id="rId67" display="Open"/>
    <hyperlink ref="O75" r:id="rId68" display="Open"/>
    <hyperlink ref="O76" r:id="rId69" display="Open"/>
    <hyperlink ref="O77" r:id="rId70" display="Open"/>
    <hyperlink ref="O78" r:id="rId71" display="Open"/>
    <hyperlink ref="O79" r:id="rId72" display="Open"/>
    <hyperlink ref="O80" r:id="rId73" display="Open"/>
    <hyperlink ref="O81" r:id="rId74" display="Open"/>
    <hyperlink ref="O82" r:id="rId75" display="Open"/>
    <hyperlink ref="O83" r:id="rId76" display="Open"/>
    <hyperlink ref="O84" r:id="rId77" display="Open"/>
    <hyperlink ref="O85" r:id="rId78" display="Open"/>
    <hyperlink ref="O86" r:id="rId79" display="Open"/>
    <hyperlink ref="O87" r:id="rId80" display="Open"/>
    <hyperlink ref="O89" r:id="rId81" display="Open"/>
    <hyperlink ref="O90" r:id="rId82" display="Open"/>
    <hyperlink ref="O91" r:id="rId83" display="Open"/>
    <hyperlink ref="O92" r:id="rId84" display="Open"/>
    <hyperlink ref="O93" r:id="rId85" display="Open"/>
    <hyperlink ref="O94" r:id="rId86" display="Open"/>
    <hyperlink ref="O95" r:id="rId87" display="Open"/>
    <hyperlink ref="O96" r:id="rId88" display="Open"/>
    <hyperlink ref="O97" r:id="rId89" display="Open"/>
    <hyperlink ref="O98" r:id="rId90" display="Open"/>
    <hyperlink ref="O99" r:id="rId91" display="Open"/>
    <hyperlink ref="O100" r:id="rId92" display="Open"/>
    <hyperlink ref="O101" r:id="rId93" display="Open"/>
    <hyperlink ref="O102" r:id="rId94" display="Open"/>
    <hyperlink ref="O103" r:id="rId95" display="Open"/>
    <hyperlink ref="O104" r:id="rId96" display="Open"/>
    <hyperlink ref="O105" r:id="rId97" display="Open"/>
    <hyperlink ref="O106" r:id="rId98" display="Open"/>
    <hyperlink ref="O107" r:id="rId99" display="Open"/>
    <hyperlink ref="O108" r:id="rId100" display="Open"/>
    <hyperlink ref="O109" r:id="rId101" display="Open"/>
    <hyperlink ref="O110" r:id="rId102" display="Open"/>
    <hyperlink ref="O111" r:id="rId103" display="Open"/>
    <hyperlink ref="O113" r:id="rId104" display="Open"/>
    <hyperlink ref="O114" r:id="rId105" display="Open"/>
    <hyperlink ref="O115" r:id="rId106" display="Open"/>
    <hyperlink ref="O116" r:id="rId107" display="Open"/>
    <hyperlink ref="O117" r:id="rId108" display="Open"/>
    <hyperlink ref="O118" r:id="rId109" display="Open"/>
    <hyperlink ref="O119" r:id="rId110" display="Open"/>
    <hyperlink ref="O120" r:id="rId111" display="Open"/>
    <hyperlink ref="O121" r:id="rId112" display="Open"/>
    <hyperlink ref="O122" r:id="rId113" display="Open"/>
    <hyperlink ref="O123" r:id="rId114" display="Open"/>
    <hyperlink ref="O124" r:id="rId115" display="Open"/>
    <hyperlink ref="O125" r:id="rId116" display="Open"/>
    <hyperlink ref="O126" r:id="rId117" display="Open"/>
    <hyperlink ref="O127" r:id="rId118" display="Open"/>
    <hyperlink ref="O128" r:id="rId119" display="Open"/>
    <hyperlink ref="O129" r:id="rId120" display="Open"/>
    <hyperlink ref="O130" r:id="rId121" display="Open"/>
    <hyperlink ref="O131" r:id="rId122" display="Open"/>
    <hyperlink ref="O132" r:id="rId123" display="Open"/>
    <hyperlink ref="O133" r:id="rId124" display="Open"/>
    <hyperlink ref="O135" r:id="rId125" display="Open"/>
    <hyperlink ref="O136" r:id="rId126" display="Open"/>
    <hyperlink ref="O137" r:id="rId127" display="Open"/>
    <hyperlink ref="O139" r:id="rId128" display="Open"/>
    <hyperlink ref="O140" r:id="rId129" display="Open"/>
    <hyperlink ref="O141" r:id="rId130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36"/>
    <col collapsed="false" customWidth="true" hidden="false" outlineLevel="0" max="4" min="4" style="1" width="14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44"/>
    <col collapsed="false" customWidth="true" hidden="false" outlineLevel="0" max="10" min="10" style="1" width="12"/>
  </cols>
  <sheetData>
    <row r="1" customFormat="false" ht="17.25" hidden="false" customHeight="true" outlineLevel="0" collapsed="false">
      <c r="A1" s="2" t="s">
        <v>603</v>
      </c>
    </row>
    <row r="2" customFormat="false" ht="15" hidden="false" customHeight="true" outlineLevel="0" collapsed="false">
      <c r="A2" s="3" t="s">
        <v>604</v>
      </c>
    </row>
    <row r="4" customFormat="false" ht="15" hidden="false" customHeight="true" outlineLevel="0" collapsed="false">
      <c r="A4" s="4" t="s">
        <v>605</v>
      </c>
      <c r="B4" s="4" t="s">
        <v>606</v>
      </c>
      <c r="C4" s="4" t="s">
        <v>33</v>
      </c>
      <c r="D4" s="4" t="s">
        <v>607</v>
      </c>
      <c r="E4" s="4" t="s">
        <v>608</v>
      </c>
      <c r="F4" s="4" t="s">
        <v>609</v>
      </c>
      <c r="G4" s="4" t="s">
        <v>610</v>
      </c>
      <c r="H4" s="4" t="s">
        <v>611</v>
      </c>
      <c r="I4" s="4" t="s">
        <v>612</v>
      </c>
      <c r="J4" s="4" t="s">
        <v>613</v>
      </c>
    </row>
    <row r="5" customFormat="false" ht="15" hidden="false" customHeight="true" outlineLevel="0" collapsed="false">
      <c r="A5" s="3" t="s">
        <v>614</v>
      </c>
      <c r="B5" s="3" t="s">
        <v>615</v>
      </c>
      <c r="C5" s="3" t="s">
        <v>616</v>
      </c>
      <c r="D5" s="3" t="s">
        <v>617</v>
      </c>
      <c r="E5" s="3" t="s">
        <v>618</v>
      </c>
      <c r="F5" s="3" t="s">
        <v>619</v>
      </c>
      <c r="G5" s="3" t="s">
        <v>620</v>
      </c>
      <c r="H5" s="3" t="s">
        <v>621</v>
      </c>
      <c r="I5" s="3" t="s">
        <v>622</v>
      </c>
      <c r="J5" s="15"/>
    </row>
    <row r="6" customFormat="false" ht="15" hidden="false" customHeight="true" outlineLevel="0" collapsed="false">
      <c r="A6" s="3" t="s">
        <v>614</v>
      </c>
      <c r="B6" s="3" t="s">
        <v>623</v>
      </c>
      <c r="C6" s="3" t="s">
        <v>624</v>
      </c>
      <c r="D6" s="3" t="s">
        <v>617</v>
      </c>
      <c r="E6" s="3" t="s">
        <v>625</v>
      </c>
      <c r="F6" s="3" t="s">
        <v>619</v>
      </c>
      <c r="G6" s="3" t="s">
        <v>620</v>
      </c>
      <c r="H6" s="3" t="s">
        <v>621</v>
      </c>
      <c r="I6" s="3" t="s">
        <v>626</v>
      </c>
      <c r="J6" s="15"/>
    </row>
    <row r="7" customFormat="false" ht="15" hidden="false" customHeight="true" outlineLevel="0" collapsed="false">
      <c r="A7" s="3" t="s">
        <v>614</v>
      </c>
      <c r="B7" s="3" t="s">
        <v>627</v>
      </c>
      <c r="C7" s="3" t="s">
        <v>628</v>
      </c>
      <c r="D7" s="3" t="s">
        <v>629</v>
      </c>
      <c r="E7" s="3" t="s">
        <v>630</v>
      </c>
      <c r="F7" s="3" t="s">
        <v>619</v>
      </c>
      <c r="G7" s="3" t="s">
        <v>620</v>
      </c>
      <c r="H7" s="3" t="s">
        <v>621</v>
      </c>
      <c r="I7" s="3" t="s">
        <v>631</v>
      </c>
      <c r="J7" s="15"/>
    </row>
    <row r="8" customFormat="false" ht="15" hidden="false" customHeight="true" outlineLevel="0" collapsed="false">
      <c r="A8" s="3" t="s">
        <v>614</v>
      </c>
      <c r="B8" s="3" t="s">
        <v>632</v>
      </c>
      <c r="C8" s="3" t="s">
        <v>633</v>
      </c>
      <c r="D8" s="3" t="s">
        <v>617</v>
      </c>
      <c r="E8" s="3" t="s">
        <v>634</v>
      </c>
      <c r="F8" s="3" t="s">
        <v>635</v>
      </c>
      <c r="G8" s="3" t="s">
        <v>636</v>
      </c>
      <c r="H8" s="3" t="s">
        <v>621</v>
      </c>
      <c r="I8" s="3" t="s">
        <v>637</v>
      </c>
      <c r="J8" s="15"/>
    </row>
    <row r="9" customFormat="false" ht="15" hidden="false" customHeight="true" outlineLevel="0" collapsed="false">
      <c r="A9" s="3" t="s">
        <v>614</v>
      </c>
      <c r="B9" s="3" t="s">
        <v>638</v>
      </c>
      <c r="C9" s="3" t="s">
        <v>639</v>
      </c>
      <c r="D9" s="3" t="s">
        <v>629</v>
      </c>
      <c r="E9" s="3" t="s">
        <v>640</v>
      </c>
      <c r="F9" s="3" t="s">
        <v>635</v>
      </c>
      <c r="G9" s="3" t="s">
        <v>636</v>
      </c>
      <c r="H9" s="3" t="s">
        <v>621</v>
      </c>
      <c r="I9" s="3" t="s">
        <v>641</v>
      </c>
      <c r="J9" s="15"/>
    </row>
    <row r="10" customFormat="false" ht="15" hidden="false" customHeight="true" outlineLevel="0" collapsed="false">
      <c r="A10" s="3" t="s">
        <v>614</v>
      </c>
      <c r="B10" s="3" t="s">
        <v>642</v>
      </c>
      <c r="C10" s="3" t="s">
        <v>643</v>
      </c>
      <c r="D10" s="3" t="s">
        <v>617</v>
      </c>
      <c r="E10" s="3" t="s">
        <v>644</v>
      </c>
      <c r="F10" s="3" t="s">
        <v>635</v>
      </c>
      <c r="G10" s="3" t="s">
        <v>636</v>
      </c>
      <c r="H10" s="3" t="s">
        <v>621</v>
      </c>
      <c r="I10" s="3" t="s">
        <v>645</v>
      </c>
      <c r="J10" s="15"/>
    </row>
    <row r="11" customFormat="false" ht="15" hidden="false" customHeight="true" outlineLevel="0" collapsed="false">
      <c r="A11" s="3" t="s">
        <v>614</v>
      </c>
      <c r="B11" s="3" t="s">
        <v>646</v>
      </c>
      <c r="C11" s="3" t="s">
        <v>647</v>
      </c>
      <c r="D11" s="3" t="s">
        <v>629</v>
      </c>
      <c r="E11" s="3" t="s">
        <v>648</v>
      </c>
      <c r="F11" s="3" t="s">
        <v>649</v>
      </c>
      <c r="G11" s="3" t="s">
        <v>650</v>
      </c>
      <c r="H11" s="3" t="s">
        <v>621</v>
      </c>
      <c r="I11" s="3" t="s">
        <v>651</v>
      </c>
      <c r="J11" s="15"/>
    </row>
    <row r="12" customFormat="false" ht="15" hidden="false" customHeight="true" outlineLevel="0" collapsed="false">
      <c r="A12" s="3" t="s">
        <v>614</v>
      </c>
      <c r="B12" s="3" t="s">
        <v>652</v>
      </c>
      <c r="C12" s="3" t="s">
        <v>653</v>
      </c>
      <c r="D12" s="3" t="s">
        <v>629</v>
      </c>
      <c r="E12" s="3" t="s">
        <v>654</v>
      </c>
      <c r="F12" s="3" t="s">
        <v>655</v>
      </c>
      <c r="G12" s="3" t="s">
        <v>656</v>
      </c>
      <c r="H12" s="3" t="s">
        <v>621</v>
      </c>
      <c r="I12" s="3" t="s">
        <v>657</v>
      </c>
      <c r="J12" s="15"/>
    </row>
    <row r="13" customFormat="false" ht="15" hidden="false" customHeight="true" outlineLevel="0" collapsed="false">
      <c r="A13" s="3" t="s">
        <v>614</v>
      </c>
      <c r="B13" s="3" t="s">
        <v>658</v>
      </c>
      <c r="C13" s="3" t="s">
        <v>659</v>
      </c>
      <c r="D13" s="3" t="s">
        <v>629</v>
      </c>
      <c r="E13" s="3" t="s">
        <v>660</v>
      </c>
      <c r="F13" s="3" t="s">
        <v>655</v>
      </c>
      <c r="G13" s="3" t="s">
        <v>661</v>
      </c>
      <c r="H13" s="3" t="s">
        <v>621</v>
      </c>
      <c r="I13" s="3" t="s">
        <v>662</v>
      </c>
      <c r="J13" s="15"/>
    </row>
    <row r="14" customFormat="false" ht="15" hidden="false" customHeight="true" outlineLevel="0" collapsed="false">
      <c r="A14" s="3" t="s">
        <v>614</v>
      </c>
      <c r="B14" s="3" t="s">
        <v>663</v>
      </c>
      <c r="C14" s="3" t="s">
        <v>664</v>
      </c>
      <c r="D14" s="3" t="s">
        <v>629</v>
      </c>
      <c r="E14" s="3" t="s">
        <v>665</v>
      </c>
      <c r="F14" s="3" t="s">
        <v>666</v>
      </c>
      <c r="G14" s="3" t="s">
        <v>667</v>
      </c>
      <c r="H14" s="3" t="s">
        <v>621</v>
      </c>
      <c r="I14" s="3" t="s">
        <v>668</v>
      </c>
      <c r="J14" s="15"/>
    </row>
    <row r="15" customFormat="false" ht="15" hidden="false" customHeight="true" outlineLevel="0" collapsed="false">
      <c r="A15" s="3" t="s">
        <v>614</v>
      </c>
      <c r="B15" s="3" t="s">
        <v>669</v>
      </c>
      <c r="C15" s="3" t="s">
        <v>670</v>
      </c>
      <c r="D15" s="3" t="s">
        <v>629</v>
      </c>
      <c r="E15" s="3" t="s">
        <v>671</v>
      </c>
      <c r="F15" s="3" t="s">
        <v>666</v>
      </c>
      <c r="G15" s="3" t="s">
        <v>667</v>
      </c>
      <c r="H15" s="3" t="s">
        <v>621</v>
      </c>
      <c r="I15" s="3" t="s">
        <v>672</v>
      </c>
      <c r="J15" s="15"/>
    </row>
    <row r="16" customFormat="false" ht="15" hidden="false" customHeight="true" outlineLevel="0" collapsed="false">
      <c r="A16" s="3" t="s">
        <v>614</v>
      </c>
      <c r="B16" s="3" t="s">
        <v>673</v>
      </c>
      <c r="C16" s="3" t="s">
        <v>674</v>
      </c>
      <c r="D16" s="3" t="s">
        <v>675</v>
      </c>
      <c r="E16" s="3" t="s">
        <v>676</v>
      </c>
      <c r="F16" s="3" t="s">
        <v>666</v>
      </c>
      <c r="G16" s="3" t="s">
        <v>667</v>
      </c>
      <c r="H16" s="3" t="s">
        <v>621</v>
      </c>
      <c r="I16" s="3" t="s">
        <v>677</v>
      </c>
      <c r="J16" s="15"/>
    </row>
    <row r="17" customFormat="false" ht="15" hidden="false" customHeight="true" outlineLevel="0" collapsed="false">
      <c r="A17" s="3" t="s">
        <v>614</v>
      </c>
      <c r="B17" s="3" t="s">
        <v>678</v>
      </c>
      <c r="C17" s="3" t="s">
        <v>679</v>
      </c>
      <c r="D17" s="3" t="s">
        <v>629</v>
      </c>
      <c r="E17" s="3" t="s">
        <v>680</v>
      </c>
      <c r="F17" s="3" t="s">
        <v>666</v>
      </c>
      <c r="G17" s="3" t="s">
        <v>661</v>
      </c>
      <c r="H17" s="3" t="s">
        <v>621</v>
      </c>
      <c r="I17" s="3" t="s">
        <v>681</v>
      </c>
      <c r="J17" s="15"/>
    </row>
    <row r="18" customFormat="false" ht="15" hidden="false" customHeight="true" outlineLevel="0" collapsed="false">
      <c r="A18" s="3" t="s">
        <v>614</v>
      </c>
      <c r="B18" s="3" t="s">
        <v>682</v>
      </c>
      <c r="C18" s="3" t="s">
        <v>683</v>
      </c>
      <c r="D18" s="3" t="s">
        <v>617</v>
      </c>
      <c r="E18" s="3" t="s">
        <v>684</v>
      </c>
      <c r="F18" s="3" t="s">
        <v>685</v>
      </c>
      <c r="G18" s="3" t="s">
        <v>686</v>
      </c>
      <c r="H18" s="3" t="s">
        <v>621</v>
      </c>
      <c r="I18" s="3" t="s">
        <v>687</v>
      </c>
      <c r="J18" s="15"/>
    </row>
    <row r="19" customFormat="false" ht="15" hidden="false" customHeight="true" outlineLevel="0" collapsed="false">
      <c r="A19" s="3" t="s">
        <v>614</v>
      </c>
      <c r="B19" s="3" t="s">
        <v>688</v>
      </c>
      <c r="C19" s="3" t="s">
        <v>689</v>
      </c>
      <c r="D19" s="3" t="s">
        <v>617</v>
      </c>
      <c r="E19" s="3" t="s">
        <v>690</v>
      </c>
      <c r="F19" s="3" t="s">
        <v>691</v>
      </c>
      <c r="G19" s="3" t="s">
        <v>692</v>
      </c>
      <c r="H19" s="3" t="s">
        <v>621</v>
      </c>
      <c r="I19" s="3" t="s">
        <v>693</v>
      </c>
      <c r="J19" s="15"/>
    </row>
    <row r="20" customFormat="false" ht="15" hidden="false" customHeight="true" outlineLevel="0" collapsed="false">
      <c r="A20" s="3" t="s">
        <v>614</v>
      </c>
      <c r="B20" s="3" t="s">
        <v>694</v>
      </c>
      <c r="C20" s="3" t="s">
        <v>695</v>
      </c>
      <c r="D20" s="3" t="s">
        <v>675</v>
      </c>
      <c r="E20" s="3" t="s">
        <v>696</v>
      </c>
      <c r="F20" s="3" t="s">
        <v>691</v>
      </c>
      <c r="G20" s="3" t="s">
        <v>692</v>
      </c>
      <c r="H20" s="3" t="s">
        <v>621</v>
      </c>
      <c r="I20" s="3" t="s">
        <v>697</v>
      </c>
      <c r="J20" s="15"/>
    </row>
    <row r="21" customFormat="false" ht="15" hidden="false" customHeight="true" outlineLevel="0" collapsed="false">
      <c r="A21" s="3" t="s">
        <v>614</v>
      </c>
      <c r="B21" s="3" t="s">
        <v>698</v>
      </c>
      <c r="C21" s="3" t="s">
        <v>699</v>
      </c>
      <c r="D21" s="3" t="s">
        <v>629</v>
      </c>
      <c r="E21" s="3" t="s">
        <v>700</v>
      </c>
      <c r="F21" s="3" t="s">
        <v>701</v>
      </c>
      <c r="G21" s="3" t="s">
        <v>702</v>
      </c>
      <c r="H21" s="3" t="s">
        <v>621</v>
      </c>
      <c r="I21" s="3" t="s">
        <v>703</v>
      </c>
      <c r="J21" s="15"/>
    </row>
    <row r="22" customFormat="false" ht="15" hidden="false" customHeight="true" outlineLevel="0" collapsed="false">
      <c r="A22" s="3" t="s">
        <v>614</v>
      </c>
      <c r="B22" s="3" t="s">
        <v>704</v>
      </c>
      <c r="C22" s="3" t="s">
        <v>705</v>
      </c>
      <c r="D22" s="3" t="s">
        <v>629</v>
      </c>
      <c r="E22" s="3" t="s">
        <v>706</v>
      </c>
      <c r="F22" s="3" t="s">
        <v>701</v>
      </c>
      <c r="G22" s="3" t="s">
        <v>702</v>
      </c>
      <c r="H22" s="3" t="s">
        <v>621</v>
      </c>
      <c r="I22" s="3" t="s">
        <v>707</v>
      </c>
      <c r="J22" s="15"/>
    </row>
    <row r="23" customFormat="false" ht="15" hidden="false" customHeight="true" outlineLevel="0" collapsed="false">
      <c r="A23" s="3" t="s">
        <v>614</v>
      </c>
      <c r="B23" s="3" t="s">
        <v>708</v>
      </c>
      <c r="C23" s="3" t="s">
        <v>709</v>
      </c>
      <c r="D23" s="3" t="s">
        <v>629</v>
      </c>
      <c r="E23" s="3" t="s">
        <v>710</v>
      </c>
      <c r="F23" s="3" t="s">
        <v>711</v>
      </c>
      <c r="G23" s="3" t="s">
        <v>712</v>
      </c>
      <c r="H23" s="3" t="s">
        <v>621</v>
      </c>
      <c r="I23" s="3" t="s">
        <v>713</v>
      </c>
      <c r="J23" s="15"/>
    </row>
    <row r="24" customFormat="false" ht="15" hidden="false" customHeight="true" outlineLevel="0" collapsed="false">
      <c r="A24" s="3" t="s">
        <v>614</v>
      </c>
      <c r="B24" s="3" t="s">
        <v>714</v>
      </c>
      <c r="C24" s="3" t="s">
        <v>715</v>
      </c>
      <c r="D24" s="3" t="s">
        <v>675</v>
      </c>
      <c r="E24" s="3" t="s">
        <v>716</v>
      </c>
      <c r="F24" s="3" t="s">
        <v>717</v>
      </c>
      <c r="G24" s="3" t="s">
        <v>718</v>
      </c>
      <c r="H24" s="3" t="s">
        <v>621</v>
      </c>
      <c r="I24" s="3" t="s">
        <v>719</v>
      </c>
      <c r="J24" s="15"/>
    </row>
    <row r="25" customFormat="false" ht="15" hidden="false" customHeight="true" outlineLevel="0" collapsed="false">
      <c r="A25" s="3" t="s">
        <v>614</v>
      </c>
      <c r="B25" s="3" t="s">
        <v>720</v>
      </c>
      <c r="C25" s="3" t="s">
        <v>721</v>
      </c>
      <c r="D25" s="3" t="s">
        <v>675</v>
      </c>
      <c r="E25" s="3" t="s">
        <v>722</v>
      </c>
      <c r="F25" s="3" t="s">
        <v>723</v>
      </c>
      <c r="G25" s="3" t="s">
        <v>724</v>
      </c>
      <c r="H25" s="3" t="s">
        <v>621</v>
      </c>
      <c r="I25" s="3" t="s">
        <v>725</v>
      </c>
      <c r="J25" s="15"/>
    </row>
    <row r="26" customFormat="false" ht="15" hidden="false" customHeight="true" outlineLevel="0" collapsed="false">
      <c r="A26" s="3" t="s">
        <v>614</v>
      </c>
      <c r="B26" s="3" t="s">
        <v>726</v>
      </c>
      <c r="C26" s="3" t="s">
        <v>727</v>
      </c>
      <c r="D26" s="3" t="s">
        <v>629</v>
      </c>
      <c r="E26" s="3" t="s">
        <v>728</v>
      </c>
      <c r="F26" s="3" t="s">
        <v>729</v>
      </c>
      <c r="G26" s="3" t="s">
        <v>730</v>
      </c>
      <c r="H26" s="3" t="s">
        <v>621</v>
      </c>
      <c r="I26" s="3" t="s">
        <v>731</v>
      </c>
      <c r="J26" s="15"/>
    </row>
    <row r="27" customFormat="false" ht="15" hidden="false" customHeight="true" outlineLevel="0" collapsed="false">
      <c r="A27" s="3" t="s">
        <v>614</v>
      </c>
      <c r="B27" s="3" t="s">
        <v>732</v>
      </c>
      <c r="C27" s="3" t="s">
        <v>733</v>
      </c>
      <c r="D27" s="3" t="s">
        <v>629</v>
      </c>
      <c r="E27" s="3" t="s">
        <v>734</v>
      </c>
      <c r="F27" s="3" t="s">
        <v>735</v>
      </c>
      <c r="G27" s="3" t="s">
        <v>736</v>
      </c>
      <c r="H27" s="3" t="s">
        <v>621</v>
      </c>
      <c r="I27" s="3" t="s">
        <v>737</v>
      </c>
      <c r="J27" s="15"/>
    </row>
    <row r="28" customFormat="false" ht="15" hidden="false" customHeight="true" outlineLevel="0" collapsed="false">
      <c r="A28" s="3" t="s">
        <v>614</v>
      </c>
      <c r="B28" s="3" t="s">
        <v>738</v>
      </c>
      <c r="C28" s="3" t="s">
        <v>739</v>
      </c>
      <c r="D28" s="3" t="s">
        <v>617</v>
      </c>
      <c r="E28" s="3" t="s">
        <v>740</v>
      </c>
      <c r="F28" s="3" t="s">
        <v>468</v>
      </c>
      <c r="G28" s="3" t="s">
        <v>741</v>
      </c>
      <c r="H28" s="3" t="s">
        <v>742</v>
      </c>
      <c r="I28" s="3" t="s">
        <v>743</v>
      </c>
      <c r="J28" s="15"/>
    </row>
    <row r="29" customFormat="false" ht="15" hidden="false" customHeight="true" outlineLevel="0" collapsed="false">
      <c r="A29" s="3" t="s">
        <v>614</v>
      </c>
      <c r="B29" s="3" t="s">
        <v>744</v>
      </c>
      <c r="C29" s="3" t="s">
        <v>745</v>
      </c>
      <c r="D29" s="3" t="s">
        <v>617</v>
      </c>
      <c r="E29" s="3" t="s">
        <v>746</v>
      </c>
      <c r="F29" s="3" t="s">
        <v>468</v>
      </c>
      <c r="G29" s="3" t="s">
        <v>747</v>
      </c>
      <c r="H29" s="3" t="s">
        <v>742</v>
      </c>
      <c r="I29" s="3" t="s">
        <v>748</v>
      </c>
      <c r="J29" s="15"/>
    </row>
    <row r="30" customFormat="false" ht="15" hidden="false" customHeight="true" outlineLevel="0" collapsed="false">
      <c r="A30" s="3" t="s">
        <v>614</v>
      </c>
      <c r="B30" s="3" t="s">
        <v>749</v>
      </c>
      <c r="C30" s="3" t="s">
        <v>750</v>
      </c>
      <c r="D30" s="3" t="s">
        <v>629</v>
      </c>
      <c r="E30" s="3" t="s">
        <v>751</v>
      </c>
      <c r="F30" s="3" t="s">
        <v>752</v>
      </c>
      <c r="G30" s="3" t="s">
        <v>753</v>
      </c>
      <c r="H30" s="3" t="s">
        <v>742</v>
      </c>
      <c r="I30" s="3" t="s">
        <v>754</v>
      </c>
      <c r="J30" s="15"/>
    </row>
    <row r="31" customFormat="false" ht="15" hidden="false" customHeight="true" outlineLevel="0" collapsed="false">
      <c r="A31" s="3" t="s">
        <v>614</v>
      </c>
      <c r="B31" s="3" t="s">
        <v>755</v>
      </c>
      <c r="C31" s="3" t="s">
        <v>756</v>
      </c>
      <c r="D31" s="3" t="s">
        <v>675</v>
      </c>
      <c r="E31" s="3" t="s">
        <v>757</v>
      </c>
      <c r="F31" s="3" t="s">
        <v>752</v>
      </c>
      <c r="G31" s="3" t="s">
        <v>753</v>
      </c>
      <c r="H31" s="3" t="s">
        <v>742</v>
      </c>
      <c r="I31" s="3" t="s">
        <v>758</v>
      </c>
      <c r="J31" s="15"/>
    </row>
    <row r="32" customFormat="false" ht="15" hidden="false" customHeight="true" outlineLevel="0" collapsed="false">
      <c r="A32" s="3" t="s">
        <v>614</v>
      </c>
      <c r="B32" s="3" t="s">
        <v>759</v>
      </c>
      <c r="C32" s="3" t="s">
        <v>760</v>
      </c>
      <c r="D32" s="3" t="s">
        <v>617</v>
      </c>
      <c r="E32" s="3" t="s">
        <v>761</v>
      </c>
      <c r="F32" s="3" t="s">
        <v>179</v>
      </c>
      <c r="G32" s="3" t="s">
        <v>762</v>
      </c>
      <c r="H32" s="3" t="s">
        <v>742</v>
      </c>
      <c r="I32" s="3" t="s">
        <v>763</v>
      </c>
      <c r="J32" s="15"/>
    </row>
    <row r="33" customFormat="false" ht="15" hidden="false" customHeight="true" outlineLevel="0" collapsed="false">
      <c r="A33" s="3" t="s">
        <v>614</v>
      </c>
      <c r="B33" s="3" t="s">
        <v>764</v>
      </c>
      <c r="C33" s="3" t="s">
        <v>765</v>
      </c>
      <c r="D33" s="3" t="s">
        <v>675</v>
      </c>
      <c r="E33" s="3" t="s">
        <v>766</v>
      </c>
      <c r="F33" s="3" t="s">
        <v>179</v>
      </c>
      <c r="G33" s="3" t="s">
        <v>767</v>
      </c>
      <c r="H33" s="3" t="s">
        <v>742</v>
      </c>
      <c r="I33" s="3" t="s">
        <v>768</v>
      </c>
      <c r="J33" s="15"/>
    </row>
    <row r="34" customFormat="false" ht="15" hidden="false" customHeight="true" outlineLevel="0" collapsed="false">
      <c r="A34" s="3" t="s">
        <v>614</v>
      </c>
      <c r="B34" s="3" t="s">
        <v>769</v>
      </c>
      <c r="C34" s="3" t="s">
        <v>275</v>
      </c>
      <c r="D34" s="3" t="s">
        <v>617</v>
      </c>
      <c r="E34" s="3" t="s">
        <v>770</v>
      </c>
      <c r="F34" s="3" t="s">
        <v>179</v>
      </c>
      <c r="G34" s="3" t="s">
        <v>771</v>
      </c>
      <c r="H34" s="3" t="s">
        <v>742</v>
      </c>
      <c r="I34" s="3" t="s">
        <v>772</v>
      </c>
      <c r="J34" s="15"/>
    </row>
    <row r="35" customFormat="false" ht="15" hidden="false" customHeight="true" outlineLevel="0" collapsed="false">
      <c r="A35" s="3" t="s">
        <v>773</v>
      </c>
      <c r="B35" s="3"/>
      <c r="C35" s="3" t="s">
        <v>774</v>
      </c>
      <c r="D35" s="3" t="s">
        <v>775</v>
      </c>
      <c r="E35" s="3" t="s">
        <v>776</v>
      </c>
      <c r="F35" s="3" t="s">
        <v>141</v>
      </c>
      <c r="G35" s="3" t="s">
        <v>777</v>
      </c>
      <c r="H35" s="3" t="s">
        <v>742</v>
      </c>
      <c r="I35" s="3" t="s">
        <v>778</v>
      </c>
      <c r="J35" s="15"/>
    </row>
    <row r="36" customFormat="false" ht="15" hidden="false" customHeight="true" outlineLevel="0" collapsed="false">
      <c r="A36" s="3" t="s">
        <v>773</v>
      </c>
      <c r="B36" s="3"/>
      <c r="C36" s="3" t="s">
        <v>779</v>
      </c>
      <c r="D36" s="3" t="s">
        <v>780</v>
      </c>
      <c r="E36" s="3" t="s">
        <v>776</v>
      </c>
      <c r="F36" s="3" t="s">
        <v>141</v>
      </c>
      <c r="G36" s="3" t="s">
        <v>781</v>
      </c>
      <c r="H36" s="3" t="s">
        <v>742</v>
      </c>
      <c r="I36" s="3" t="s">
        <v>782</v>
      </c>
      <c r="J36" s="15"/>
    </row>
    <row r="37" customFormat="false" ht="15" hidden="false" customHeight="true" outlineLevel="0" collapsed="false">
      <c r="A37" s="3" t="s">
        <v>773</v>
      </c>
      <c r="B37" s="3"/>
      <c r="C37" s="3" t="s">
        <v>783</v>
      </c>
      <c r="D37" s="3" t="s">
        <v>784</v>
      </c>
      <c r="E37" s="3" t="s">
        <v>776</v>
      </c>
      <c r="F37" s="3" t="s">
        <v>47</v>
      </c>
      <c r="G37" s="3"/>
      <c r="H37" s="3" t="s">
        <v>742</v>
      </c>
      <c r="I37" s="3" t="s">
        <v>782</v>
      </c>
      <c r="J37" s="15"/>
    </row>
    <row r="38" customFormat="false" ht="15" hidden="false" customHeight="true" outlineLevel="0" collapsed="false">
      <c r="A38" s="3" t="s">
        <v>773</v>
      </c>
      <c r="B38" s="3"/>
      <c r="C38" s="3" t="s">
        <v>785</v>
      </c>
      <c r="D38" s="3" t="s">
        <v>786</v>
      </c>
      <c r="E38" s="3" t="s">
        <v>776</v>
      </c>
      <c r="F38" s="3" t="s">
        <v>47</v>
      </c>
      <c r="G38" s="3" t="s">
        <v>787</v>
      </c>
      <c r="H38" s="3" t="s">
        <v>742</v>
      </c>
      <c r="I38" s="3" t="s">
        <v>788</v>
      </c>
      <c r="J38" s="15"/>
    </row>
    <row r="40" customFormat="false" ht="15" hidden="false" customHeight="true" outlineLevel="0" collapsed="false">
      <c r="A40" s="3" t="s">
        <v>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2026-10-22T02:13:28Z</dcterms:created>
  <dc:creator>openpyxl</dc:creator>
  <dc:description/>
  <dc:language>en-US</dc:language>
  <cp:lastModifiedBy/>
  <dcterms:modified xsi:type="dcterms:W3CDTF">2026-10-25T18:50:53Z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