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Staffkin stops" sheetId="2" state="visible" r:id="rId4"/>
    <sheet name="Hiring now" sheetId="3" state="visible" r:id="rId5"/>
    <sheet name="Print count" sheetId="4" state="visible" r:id="rId6"/>
  </sheets>
  <definedNames>
    <definedName function="false" hidden="true" localSheetId="1" name="_xlnm._FilterDatabase" vbProcedure="false">'Staffkin stops'!$A$4:$P$63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<sst xmlns="http://schemas.openxmlformats.org/spreadsheetml/2006/main" count="749" uniqueCount="347">
  <si>
    <t xml:space="preserve">Staffkin flyer stops — Kentville, New Minas, Coldbrook, Wolfville, Grand Pré</t>
  </si>
  <si>
    <t xml:space="preserve">Built 21 Oct 2026. Addresses and hours from Google Maps listings that day; hours can change, so check before a special trip.</t>
  </si>
  <si>
    <t xml:space="preserve">Combining with your Keegix and Waypoint lists</t>
  </si>
  <si>
    <t xml:space="preserve">1. Copy the rows from "Staffkin stops" and "Hiring now" into your master sheet. The Brand column keeps them apart.</t>
  </si>
  <si>
    <t xml:space="preserve">2. Latitude/Longitude are there so a route planner (Google My Maps import, RouteXL, Circuit) can place every stop.</t>
  </si>
  <si>
    <t xml:space="preserve">3. Fill "Stop #" once you have the route order. Yellow cells are the ones you fill in.</t>
  </si>
  <si>
    <t xml:space="preserve">Priorities</t>
  </si>
  <si>
    <t xml:space="preserve">1 = most likely buyers or multipliers (business offices, restaurants, bookkeepers, hiring-now shops). 2 = small employers who hire now and then. 3 = boards and nice-to-have.</t>
  </si>
  <si>
    <t xml:space="preserve">Tip: the Chamber, CBDC, Valley REN and Valley Business Hub are all at 448 Main St, Kentville. One stop covers all four.</t>
  </si>
  <si>
    <t xml:space="preserve">What the letters mean (see the "Staffkin print flyers" design canvas)</t>
  </si>
  <si>
    <t xml:space="preserve">A = counter card (2 per sheet) · B = reference-check postcard (4 per sheet, front + back) · C = board poster · D = pocket cards (10 per sheet)</t>
  </si>
  <si>
    <t xml:space="preserve">Left out on purpose</t>
  </si>
  <si>
    <t xml:space="preserve">Care homes and home-care agencies: same sector as your day job, so they are not on this list. Add them yourself if you are comfortable.</t>
  </si>
  <si>
    <t xml:space="preserve">National chains (Tim Hortons, Sobeys, Walmart etc.): head office decides, so cards there are wasted.</t>
  </si>
  <si>
    <t xml:space="preserve">Staffkin stops</t>
  </si>
  <si>
    <t xml:space="preserve">Same columns as the Waypoint route tab, so you can paste these straight under it. Sorted by priority, then town. "Also on Waypoint list" = same address, so drop off both brands in one visit.</t>
  </si>
  <si>
    <t xml:space="preserve">Done:</t>
  </si>
  <si>
    <t xml:space="preserve">Stop</t>
  </si>
  <si>
    <t xml:space="preserve">Audience</t>
  </si>
  <si>
    <t xml:space="preserve">Town</t>
  </si>
  <si>
    <t xml:space="preserve">Place</t>
  </si>
  <si>
    <t xml:space="preserve">Address (paste into Maps)</t>
  </si>
  <si>
    <t xml:space="preserve">Type</t>
  </si>
  <si>
    <t xml:space="preserve">What to leave</t>
  </si>
  <si>
    <t xml:space="preserve">What to ask</t>
  </si>
  <si>
    <t xml:space="preserve">Hours (check first)</t>
  </si>
  <si>
    <t xml:space="preserve">Priority (1 = do first)</t>
  </si>
  <si>
    <t xml:space="preserve">Done (Y)</t>
  </si>
  <si>
    <t xml:space="preserve">Notes</t>
  </si>
  <si>
    <t xml:space="preserve">Also on Waypoint list</t>
  </si>
  <si>
    <t xml:space="preserve">Latitude</t>
  </si>
  <si>
    <t xml:space="preserve">Longitude</t>
  </si>
  <si>
    <t xml:space="preserve">Map</t>
  </si>
  <si>
    <t xml:space="preserve">Staffkin</t>
  </si>
  <si>
    <t xml:space="preserve">Coldbrook</t>
  </si>
  <si>
    <t xml:space="preserve">Callister's Country Kitchen</t>
  </si>
  <si>
    <t xml:space="preserve">7076 Evangeline Trl, Coldbrook, NS B4R 1C1</t>
  </si>
  <si>
    <t xml:space="preserve">Restaurant / café</t>
  </si>
  <si>
    <t xml:space="preserve">Counter card (A)</t>
  </si>
  <si>
    <t xml:space="preserve">Ask for the owner or manager. "If you're ever hiring, this does the ad, interviews and reference checks. First job is free." Best time: 2–4 pm, never lunch rush.</t>
  </si>
  <si>
    <t xml:space="preserve">7:00 AM – 9:00 PM</t>
  </si>
  <si>
    <t xml:space="preserve">Scott's Fish &amp; Chips</t>
  </si>
  <si>
    <t xml:space="preserve">7165 Nova Scotia Trunk 1, Coldbrook, NS B4R 1A2</t>
  </si>
  <si>
    <t xml:space="preserve">11:00 AM – 7:00 PM</t>
  </si>
  <si>
    <t xml:space="preserve">Kai-Wing Restaurant Ltd</t>
  </si>
  <si>
    <t xml:space="preserve">7299 Nova Scotia Trunk 1, Coldbrook, NS B4R 1B9</t>
  </si>
  <si>
    <t xml:space="preserve">Kentville</t>
  </si>
  <si>
    <t xml:space="preserve">Infinite Solutions Bookkeeping &amp; Accounting Inc.</t>
  </si>
  <si>
    <t xml:space="preserve">25 Webster Ct, Kentville, NS B4N 1H3</t>
  </si>
  <si>
    <t xml:space="preserve">Bookkeeper / accountant</t>
  </si>
  <si>
    <t xml:space="preserve">3 counter cards (A)</t>
  </si>
  <si>
    <t xml:space="preserve">Ask who handles small-business clients. Mention the partner program (they earn on referrals). Best time: Weekday mid-morning.</t>
  </si>
  <si>
    <t xml:space="preserve">8:30 AM – 4:30 PM</t>
  </si>
  <si>
    <t xml:space="preserve">Best partner fit: bookkeepers see hiring pain first.</t>
  </si>
  <si>
    <t xml:space="preserve">Y</t>
  </si>
  <si>
    <t xml:space="preserve">mbf | Chartered Professional Accountants</t>
  </si>
  <si>
    <t xml:space="preserve">464 Main St, Kentville, NS B4N 1K8</t>
  </si>
  <si>
    <t xml:space="preserve">Bage CPA</t>
  </si>
  <si>
    <t xml:space="preserve">402 Main St, Kentville, NS B4N 1K8</t>
  </si>
  <si>
    <t xml:space="preserve">10:00 AM – 4:00 PM</t>
  </si>
  <si>
    <t xml:space="preserve">Kent &amp; Duffett Chartered Professional Accountants</t>
  </si>
  <si>
    <t xml:space="preserve">46 Chipman Dr Unit 1, Kentville, NS B4N 3V7</t>
  </si>
  <si>
    <t xml:space="preserve">Hours not listed; check before going.</t>
  </si>
  <si>
    <t xml:space="preserve">Doane Grant Thornton LLP</t>
  </si>
  <si>
    <t xml:space="preserve">15 Webster St, Kentville, NS B4N 1H4</t>
  </si>
  <si>
    <t xml:space="preserve">9:00 AM – 5:00 PM</t>
  </si>
  <si>
    <t xml:space="preserve">Larger firm; lower odds.</t>
  </si>
  <si>
    <t xml:space="preserve">Annapolis Valley Chamber of Commerce</t>
  </si>
  <si>
    <t xml:space="preserve">448 Main St, Kentville, NS B4N 1R5</t>
  </si>
  <si>
    <t xml:space="preserve">Business support</t>
  </si>
  <si>
    <t xml:space="preserve">Board poster (C) + 5 counter cards (A)</t>
  </si>
  <si>
    <t xml:space="preserve">Ask to put the poster on the board and a few cards in the brochure rack for members. Best time: Weekday 9 am–4 pm.</t>
  </si>
  <si>
    <t xml:space="preserve">8:30 AM – 4:00 PM</t>
  </si>
  <si>
    <t xml:space="preserve">Same building as CBDC, Valley REN and Valley Business Hub: one stop, four offices.</t>
  </si>
  <si>
    <t xml:space="preserve">CBDC Hants-Kings</t>
  </si>
  <si>
    <t xml:space="preserve">Lends to small businesses; their clients are your customers.</t>
  </si>
  <si>
    <t xml:space="preserve">Valley Regional Enterprise Network</t>
  </si>
  <si>
    <t xml:space="preserve">Valley Business Hub</t>
  </si>
  <si>
    <t xml:space="preserve">Maritime Express Cider Co.</t>
  </si>
  <si>
    <t xml:space="preserve">325 Main St, Kentville, NS B4N 1K5</t>
  </si>
  <si>
    <t xml:space="preserve">11:00 AM – 9:00 PM</t>
  </si>
  <si>
    <t xml:space="preserve">Paddy's Irish Brewpub &amp; Rosie's Restaurant</t>
  </si>
  <si>
    <t xml:space="preserve">42 Aberdeen St, Kentville, NS B4N 2N1</t>
  </si>
  <si>
    <t xml:space="preserve">8:00 AM – 10:00 PM</t>
  </si>
  <si>
    <t xml:space="preserve">Kings Arms Pub</t>
  </si>
  <si>
    <t xml:space="preserve">390 Main St, Kentville, NS B4N 1K8</t>
  </si>
  <si>
    <t xml:space="preserve">TACOcentric</t>
  </si>
  <si>
    <t xml:space="preserve">437 Main St, Kentville, NS B4N 1K9</t>
  </si>
  <si>
    <t xml:space="preserve">Half Acre Cafe</t>
  </si>
  <si>
    <t xml:space="preserve">395 Main St, Kentville, NS B4N 2E2</t>
  </si>
  <si>
    <t xml:space="preserve">8:00 AM – 4:00 PM</t>
  </si>
  <si>
    <t xml:space="preserve">Wheelhouse Coffee Co.</t>
  </si>
  <si>
    <t xml:space="preserve">2 Webster St, Kentville, NS B4N 1H7</t>
  </si>
  <si>
    <t xml:space="preserve">T.A.N. Coffee - Kentville</t>
  </si>
  <si>
    <t xml:space="preserve">431 Main St, Kentville, NS B4N 1K7</t>
  </si>
  <si>
    <t xml:space="preserve">7:00 AM – 6:00 PM</t>
  </si>
  <si>
    <t xml:space="preserve">New Minas</t>
  </si>
  <si>
    <t xml:space="preserve">Cumin Kitchen and Drink</t>
  </si>
  <si>
    <t xml:space="preserve">21 Roy Ave, New Minas, NS B4N 3R7</t>
  </si>
  <si>
    <t xml:space="preserve">7:30 AM – 7:00 PM</t>
  </si>
  <si>
    <t xml:space="preserve">St. Louis Bar &amp; Grill</t>
  </si>
  <si>
    <t xml:space="preserve">9049 Commercial St Unit 6-7A, New Minas, NS B4N 5A4</t>
  </si>
  <si>
    <t xml:space="preserve">11:00 AM – 1:00 AM</t>
  </si>
  <si>
    <t xml:space="preserve">Franchise: ask for the local owner.</t>
  </si>
  <si>
    <t xml:space="preserve">BARIIS HALAL &amp; PIZZA HOUSE</t>
  </si>
  <si>
    <t xml:space="preserve">9005 Commercial St, New Minas, NS B4N 3E2</t>
  </si>
  <si>
    <t xml:space="preserve">8:00 AM – 11:30 PM</t>
  </si>
  <si>
    <t xml:space="preserve">Chrismaria Family Restaurant ( Indian Restaurant)</t>
  </si>
  <si>
    <t xml:space="preserve">8934 Commercial St, New Minas, NS B4N 3C9</t>
  </si>
  <si>
    <t xml:space="preserve">12:00 – 8:00 PM</t>
  </si>
  <si>
    <t xml:space="preserve">Wolfville</t>
  </si>
  <si>
    <t xml:space="preserve">Charts Café</t>
  </si>
  <si>
    <t xml:space="preserve">16 Elm Ave, Wolfville, NS B4P 2S2</t>
  </si>
  <si>
    <t xml:space="preserve">7:30 AM – 6:00 PM</t>
  </si>
  <si>
    <t xml:space="preserve">Just Us! Wolfville Café</t>
  </si>
  <si>
    <t xml:space="preserve">450 Main St, Wolfville, NS B4P 2A1</t>
  </si>
  <si>
    <t xml:space="preserve">T.A.N. Coffee - Wolfville</t>
  </si>
  <si>
    <t xml:space="preserve">378 Main St, Wolfville, NS B4P 2B8</t>
  </si>
  <si>
    <t xml:space="preserve">7:00 AM – 8:00 PM</t>
  </si>
  <si>
    <t xml:space="preserve">Paddy's Brewpub &amp; Rosie's Restaurant</t>
  </si>
  <si>
    <t xml:space="preserve">460 Main St, Wolfville, NS B4P 2A1</t>
  </si>
  <si>
    <t xml:space="preserve">11:00 AM – 11:00 PM</t>
  </si>
  <si>
    <t xml:space="preserve">Troy Restaurant &amp; Grill</t>
  </si>
  <si>
    <t xml:space="preserve">12D Elm Ave, Wolfville, NS B4P 1Z9</t>
  </si>
  <si>
    <t xml:space="preserve">11:00 AM – 8:00 PM</t>
  </si>
  <si>
    <t xml:space="preserve">The Church Brewing Co</t>
  </si>
  <si>
    <t xml:space="preserve">329 Main St, Wolfville, NS B4P 1C4</t>
  </si>
  <si>
    <t xml:space="preserve">11:30 AM – 9:00 PM</t>
  </si>
  <si>
    <t xml:space="preserve">Joe's Food Emporium</t>
  </si>
  <si>
    <t xml:space="preserve">434 Main St, Wolfville, NS B4P 2A1</t>
  </si>
  <si>
    <t xml:space="preserve">10:00 AM – 11:00 PM</t>
  </si>
  <si>
    <t xml:space="preserve">The Library Pub</t>
  </si>
  <si>
    <t xml:space="preserve">472 Main St, Wolfville, NS B4P 1E2</t>
  </si>
  <si>
    <t xml:space="preserve">11:30 AM – 11:00 PM</t>
  </si>
  <si>
    <t xml:space="preserve">Elderkin's Farm Market, Bakery, &amp; U-Pick</t>
  </si>
  <si>
    <t xml:space="preserve">10362 Nova Scotia Trunk 1, Wolfville, NS B4P 2R2</t>
  </si>
  <si>
    <t xml:space="preserve">8:00 AM – 6:00 PM</t>
  </si>
  <si>
    <t xml:space="preserve">Seasonal staff every year.</t>
  </si>
  <si>
    <t xml:space="preserve">Stoddart's Automotive Service Ltd.</t>
  </si>
  <si>
    <t xml:space="preserve">6961 Nova Scotia Trunk 1, Coldbrook, NS B4R 1C5</t>
  </si>
  <si>
    <t xml:space="preserve">Auto repair</t>
  </si>
  <si>
    <t xml:space="preserve">Pocket card (D)</t>
  </si>
  <si>
    <t xml:space="preserve">Leave a card for the owner or service manager. Best time: Weekday 10 am–3 pm.</t>
  </si>
  <si>
    <t xml:space="preserve">8:00 AM – 5:00 PM</t>
  </si>
  <si>
    <t xml:space="preserve">Grand Pré</t>
  </si>
  <si>
    <t xml:space="preserve">Domaine de Grand Pré</t>
  </si>
  <si>
    <t xml:space="preserve">11611 Evangeline Trl, Grand Pré, NS B0P 1M0</t>
  </si>
  <si>
    <t xml:space="preserve">Winery</t>
  </si>
  <si>
    <t xml:space="preserve">Ask for the manager; seasonal hiring is a good angle. Best time: Weekday afternoon.</t>
  </si>
  <si>
    <t xml:space="preserve">10:00 AM – 6:00 PM</t>
  </si>
  <si>
    <t xml:space="preserve">Le Caveau restaurant is at the same address.</t>
  </si>
  <si>
    <t xml:space="preserve">Luckett Vineyards</t>
  </si>
  <si>
    <t xml:space="preserve">1293 Grand Pré Rd, Wallbrook, NS B4P 2R3</t>
  </si>
  <si>
    <t xml:space="preserve">Hours not listed; often seasonal, check first.</t>
  </si>
  <si>
    <t xml:space="preserve">Troy Bennett's Auto Repair &amp; Service</t>
  </si>
  <si>
    <t xml:space="preserve">28 lyons drive, Kentville, NS B4N 3V7</t>
  </si>
  <si>
    <t xml:space="preserve">Greg Dodge's Auto Repair</t>
  </si>
  <si>
    <t xml:space="preserve">81 New Canaan Rd, Kentville, NS B4N 4K1</t>
  </si>
  <si>
    <t xml:space="preserve">Kentville Barber Shop</t>
  </si>
  <si>
    <t xml:space="preserve">106 Webster St, Kentville, NS B4N 1H9</t>
  </si>
  <si>
    <t xml:space="preserve">Salon / barber</t>
  </si>
  <si>
    <t xml:space="preserve">Leave a card for the owner. Best time: Weekday, between clients.</t>
  </si>
  <si>
    <t xml:space="preserve">Victor cuts barber shop</t>
  </si>
  <si>
    <t xml:space="preserve">17 River St #21, Kentville, NS B4N 5E3</t>
  </si>
  <si>
    <t xml:space="preserve">9:00 AM – 6:00 PM</t>
  </si>
  <si>
    <t xml:space="preserve">White Rock Mechanical</t>
  </si>
  <si>
    <t xml:space="preserve">51 Chipman Dr #1, Kentville, NS B4N 3V7</t>
  </si>
  <si>
    <t xml:space="preserve">Trades / contractor office</t>
  </si>
  <si>
    <t xml:space="preserve">Pocket card (D) or counter card (A)</t>
  </si>
  <si>
    <t xml:space="preserve">Leave with the front desk for the owner. Best time: Weekday 10 am–3 pm.</t>
  </si>
  <si>
    <t xml:space="preserve">White Rock Electrical Services Ltd</t>
  </si>
  <si>
    <t xml:space="preserve">87 Chipman Dr #1, Kentville, NS B4N 3V7</t>
  </si>
  <si>
    <t xml:space="preserve">Ron Martin's Plumbing and Heating 2022 Ltd</t>
  </si>
  <si>
    <t xml:space="preserve">913 Park St, Kentville, NS B4N 5H3</t>
  </si>
  <si>
    <t xml:space="preserve">8:00 AM – 4:30 PM</t>
  </si>
  <si>
    <t xml:space="preserve">Fraser’s Pro Home Centre</t>
  </si>
  <si>
    <t xml:space="preserve">14 Pelton Dr, Kentville, NS B4N 3V7</t>
  </si>
  <si>
    <t xml:space="preserve">Trades counter</t>
  </si>
  <si>
    <t xml:space="preserve">Small stack of pocket cards (D)</t>
  </si>
  <si>
    <t xml:space="preserve">Ask if you can leave a few cards at the contractor desk. Best time: Mid-morning, after the 7–9 am contractor rush.</t>
  </si>
  <si>
    <t xml:space="preserve">7:30 AM – 5:30 PM</t>
  </si>
  <si>
    <t xml:space="preserve">Rockwell Home Hardware</t>
  </si>
  <si>
    <t xml:space="preserve">414 Main St, Kentville, NS B4N 3W4</t>
  </si>
  <si>
    <t xml:space="preserve">The Valley Barber</t>
  </si>
  <si>
    <t xml:space="preserve">11A Crescent Dr, New Minas, NS B4N 3G7</t>
  </si>
  <si>
    <t xml:space="preserve">Old Money Hair &amp; Co</t>
  </si>
  <si>
    <t xml:space="preserve">8943 Commercial St, New Minas, NS B4N 3E1</t>
  </si>
  <si>
    <t xml:space="preserve">Kent Building Supplies</t>
  </si>
  <si>
    <t xml:space="preserve">5447 Prospect Rd, New Minas, NS B4N 3L1</t>
  </si>
  <si>
    <t xml:space="preserve">Your former employer: your call.</t>
  </si>
  <si>
    <t xml:space="preserve">Rafuse Home Hardware Building Centre</t>
  </si>
  <si>
    <t xml:space="preserve">180 Dykeland St, Wolfville, NS B4P 1A2</t>
  </si>
  <si>
    <t xml:space="preserve">Kentville Library</t>
  </si>
  <si>
    <t xml:space="preserve">440 Main St, Kentville, NS B4N 1R5</t>
  </si>
  <si>
    <t xml:space="preserve">Community board</t>
  </si>
  <si>
    <t xml:space="preserve">Board poster (C)</t>
  </si>
  <si>
    <t xml:space="preserve">Ask the desk before pinning it up. Best time: Opening hours.</t>
  </si>
  <si>
    <t xml:space="preserve">Mister Printer</t>
  </si>
  <si>
    <t xml:space="preserve">409 Main St, Kentville, NS B4N 2E2</t>
  </si>
  <si>
    <t xml:space="preserve">Print / shipping shop</t>
  </si>
  <si>
    <t xml:space="preserve">Ask if they have a community or business board. Best time: Opening hours.</t>
  </si>
  <si>
    <t xml:space="preserve">8:30 AM – 5:00 PM</t>
  </si>
  <si>
    <t xml:space="preserve">Panda Print</t>
  </si>
  <si>
    <t xml:space="preserve">9146 Commercial St, New Minas, NS B4N 3E6</t>
  </si>
  <si>
    <t xml:space="preserve">Repracorp Design and Print Solutions</t>
  </si>
  <si>
    <t xml:space="preserve">8927 Commercial St, New Minas, NS B4N 3E2</t>
  </si>
  <si>
    <t xml:space="preserve">The UPS Store</t>
  </si>
  <si>
    <t xml:space="preserve">9049 Commercial St New Minas Plaza, New Minas, NS B4N 3E3</t>
  </si>
  <si>
    <t xml:space="preserve">8:30 AM – 6:00 PM</t>
  </si>
  <si>
    <t xml:space="preserve">Wolfville Memorial Library</t>
  </si>
  <si>
    <t xml:space="preserve">21 Elm Ave, Wolfville, NS B4P 2A1</t>
  </si>
  <si>
    <t xml:space="preserve">Valley Girl Boutique</t>
  </si>
  <si>
    <t xml:space="preserve">452 Main St, Wolfville, NS B4P 2A1</t>
  </si>
  <si>
    <t xml:space="preserve">Retail shop</t>
  </si>
  <si>
    <t xml:space="preserve">Leave a card for the owner. Best time: Weekday, quiet times.</t>
  </si>
  <si>
    <t xml:space="preserve">10:00 AM – 5:00 PM</t>
  </si>
  <si>
    <t xml:space="preserve">Wild Lily</t>
  </si>
  <si>
    <t xml:space="preserve">385 Main St, Wolfville, NS B4P 2B8</t>
  </si>
  <si>
    <t xml:space="preserve">The Market - Groove Merchants</t>
  </si>
  <si>
    <t xml:space="preserve">466 Main St, Wolfville, NS B4P 2A1</t>
  </si>
  <si>
    <t xml:space="preserve">Realm Boutique</t>
  </si>
  <si>
    <t xml:space="preserve">12 Elm Ave, Wolfville, NS B4P 1Z9</t>
  </si>
  <si>
    <t xml:space="preserve">Jane’s Again</t>
  </si>
  <si>
    <t xml:space="preserve">390 Main St, Wolfville, NS B4P 1A4</t>
  </si>
  <si>
    <t xml:space="preserve">Hiring now (Job Bank / Indeed, checked 21 Oct 2026)</t>
  </si>
  <si>
    <t xml:space="preserve">Same columns as the route tab. Visit with counter card A, or mail postcard B. "Address not posted" ones: mail via the Job Bank posting or skip. Care homes, support agencies and chains left out.</t>
  </si>
  <si>
    <t xml:space="preserve">Role hiring</t>
  </si>
  <si>
    <t xml:space="preserve">Posted</t>
  </si>
  <si>
    <t xml:space="preserve">Posting</t>
  </si>
  <si>
    <t xml:space="preserve">434 Main St, Wolfville, NS</t>
  </si>
  <si>
    <t xml:space="preserve">Restaurant</t>
  </si>
  <si>
    <t xml:space="preserve">Counter card (A) in person</t>
  </si>
  <si>
    <t xml:space="preserve">"I saw you're hiring a line cook. Staffkin does the job ad, interview questions and reference checks. First job is free."</t>
  </si>
  <si>
    <t xml:space="preserve">Line cook; restaurant assistant manager</t>
  </si>
  <si>
    <t xml:space="preserve">2026-09-17</t>
  </si>
  <si>
    <t xml:space="preserve">Jeju Restaurant</t>
  </si>
  <si>
    <t xml:space="preserve">8 Elm Ave, Wolfville, NS B4P 1Z9</t>
  </si>
  <si>
    <t xml:space="preserve">Korean restaurant</t>
  </si>
  <si>
    <t xml:space="preserve">"I saw you're hiring a chef. Staffkin does the job ad, interview questions and reference checks. First job is free."</t>
  </si>
  <si>
    <t xml:space="preserve">Chef</t>
  </si>
  <si>
    <t xml:space="preserve">2026-09-04</t>
  </si>
  <si>
    <t xml:space="preserve">460 Main St, Wolfville, NS B4P 1E2</t>
  </si>
  <si>
    <t xml:space="preserve">Brewpub / restaurant</t>
  </si>
  <si>
    <t xml:space="preserve">"I saw you're hiring a cook. Staffkin does the job ad, interview questions and reference checks. First job is free."</t>
  </si>
  <si>
    <t xml:space="preserve">Cook</t>
  </si>
  <si>
    <t xml:space="preserve">2026-10-20</t>
  </si>
  <si>
    <t xml:space="preserve">Li's Wok &amp; Grill</t>
  </si>
  <si>
    <t xml:space="preserve">112 Front St, Wolfville, NS</t>
  </si>
  <si>
    <t xml:space="preserve">2026-10-21</t>
  </si>
  <si>
    <t xml:space="preserve">The Church Brewing Company</t>
  </si>
  <si>
    <t xml:space="preserve">Brewery / restaurant</t>
  </si>
  <si>
    <t xml:space="preserve">"I saw you're hiring a supervisor. Staffkin does the job ad, interview questions and reference checks. First job is free."</t>
  </si>
  <si>
    <t xml:space="preserve">No date on the posting; may be older.</t>
  </si>
  <si>
    <t xml:space="preserve">Supervisor, server, kitchen team</t>
  </si>
  <si>
    <t xml:space="preserve">not shown</t>
  </si>
  <si>
    <t xml:space="preserve">Tattingstone Inn</t>
  </si>
  <si>
    <t xml:space="preserve">620 Main St, Wolfville, NS B4P 1E8</t>
  </si>
  <si>
    <t xml:space="preserve">Boutique inn</t>
  </si>
  <si>
    <t xml:space="preserve">"I saw you're hiring a hotel manager. Staffkin does the job ad, interview questions and reference checks. First job is free."</t>
  </si>
  <si>
    <t xml:space="preserve">Hotel manager</t>
  </si>
  <si>
    <t xml:space="preserve">2026-10-05</t>
  </si>
  <si>
    <t xml:space="preserve">Indian restaurant</t>
  </si>
  <si>
    <t xml:space="preserve">"I saw you're hiring an assistant cook. Staffkin does the job ad, interview questions and reference checks. First job is free."</t>
  </si>
  <si>
    <t xml:space="preserve">Assistant cook; server</t>
  </si>
  <si>
    <t xml:space="preserve">Sushi Fang</t>
  </si>
  <si>
    <t xml:space="preserve">7 Kentucky Ct, New Minas, NS B4N 4N1</t>
  </si>
  <si>
    <t xml:space="preserve">Sushi restaurant</t>
  </si>
  <si>
    <t xml:space="preserve">Holland Home Leisure</t>
  </si>
  <si>
    <t xml:space="preserve">8794 Commercial St, New Minas, NS B4N 3C5</t>
  </si>
  <si>
    <t xml:space="preserve">Hot tub and pool retail</t>
  </si>
  <si>
    <t xml:space="preserve">"I saw you're hiring a retail floor manager. Staffkin does the job ad, interview questions and reference checks. First job is free."</t>
  </si>
  <si>
    <t xml:space="preserve">Retail floor manager</t>
  </si>
  <si>
    <t xml:space="preserve">Slumber Inn</t>
  </si>
  <si>
    <t xml:space="preserve">5534 Prospect Rd, New Minas, NS</t>
  </si>
  <si>
    <t xml:space="preserve">Motel</t>
  </si>
  <si>
    <t xml:space="preserve">"I saw you're hiring a housekeeper. Staffkin does the job ad, interview questions and reference checks. First job is free."</t>
  </si>
  <si>
    <t xml:space="preserve">Housekeeper</t>
  </si>
  <si>
    <t xml:space="preserve">2026-09-24</t>
  </si>
  <si>
    <t xml:space="preserve">Fleetworx Inc.</t>
  </si>
  <si>
    <t xml:space="preserve">64 Minas Warehouse Rd, New Minas, NS B4N 5G3 (verify)</t>
  </si>
  <si>
    <t xml:space="preserve">Truck refrigeration repair</t>
  </si>
  <si>
    <t xml:space="preserve">"I saw you're hiring a refrigeration mechanic. Staffkin does the job ad, interview questions and reference checks. First job is free."</t>
  </si>
  <si>
    <t xml:space="preserve">Refrigeration mechanic</t>
  </si>
  <si>
    <t xml:space="preserve">2026-10-14</t>
  </si>
  <si>
    <t xml:space="preserve">Archie's Welding Inc.</t>
  </si>
  <si>
    <t xml:space="preserve">Address not posted (postal code B4N 3N4)</t>
  </si>
  <si>
    <t xml:space="preserve">Welding and fabrication</t>
  </si>
  <si>
    <t xml:space="preserve">Reference postcard (B) by mail</t>
  </si>
  <si>
    <t xml:space="preserve">"I saw you're hiring a welding supervisor. Staffkin does the job ad, interview questions and reference checks. First job is free."</t>
  </si>
  <si>
    <t xml:space="preserve">Welding supervisor</t>
  </si>
  <si>
    <t xml:space="preserve">2026-10-08</t>
  </si>
  <si>
    <t xml:space="preserve">Jyllikleen</t>
  </si>
  <si>
    <t xml:space="preserve">Address not posted (postal code B4N 3E6)</t>
  </si>
  <si>
    <t xml:space="preserve">Cleaning service</t>
  </si>
  <si>
    <t xml:space="preserve">"I saw you're hiring a cleaner. Staffkin does the job ad, interview questions and reference checks. First job is free."</t>
  </si>
  <si>
    <t xml:space="preserve">Cleaner</t>
  </si>
  <si>
    <t xml:space="preserve">2026-10-07</t>
  </si>
  <si>
    <t xml:space="preserve">Cidery / restaurant</t>
  </si>
  <si>
    <t xml:space="preserve">"I saw you're hiring a server. Staffkin does the job ad, interview questions and reference checks. First job is free."</t>
  </si>
  <si>
    <t xml:space="preserve">Server; line cook</t>
  </si>
  <si>
    <t xml:space="preserve">Computerized Business Solutions</t>
  </si>
  <si>
    <t xml:space="preserve">Suite 500, 946 Park St, Kentville, NS B4N 3V7</t>
  </si>
  <si>
    <t xml:space="preserve">IT services office</t>
  </si>
  <si>
    <t xml:space="preserve">"I saw you're hiring a receptionist. Staffkin does the job ad, interview questions and reference checks. First job is free."</t>
  </si>
  <si>
    <t xml:space="preserve">Receptionist</t>
  </si>
  <si>
    <t xml:space="preserve">2026-10-09</t>
  </si>
  <si>
    <t xml:space="preserve">TJ's Convenience Store Ltd.</t>
  </si>
  <si>
    <t xml:space="preserve">466 Aldershot Rd, Kentville, NS B4N 3A4</t>
  </si>
  <si>
    <t xml:space="preserve">Convenience store</t>
  </si>
  <si>
    <t xml:space="preserve">"I saw you're hiring a cashier. Staffkin does the job ad, interview questions and reference checks. First job is free."</t>
  </si>
  <si>
    <t xml:space="preserve">Cashier</t>
  </si>
  <si>
    <t xml:space="preserve">2026-10-15</t>
  </si>
  <si>
    <t xml:space="preserve">Taylor MacLellan Cochrane</t>
  </si>
  <si>
    <t xml:space="preserve">50 Bridge St, Kentville, NS B4N 2E4</t>
  </si>
  <si>
    <t xml:space="preserve">Law firm</t>
  </si>
  <si>
    <t xml:space="preserve">"I saw you're hiring a paralegal. Staffkin does the job ad, interview questions and reference checks. First job is free."</t>
  </si>
  <si>
    <t xml:space="preserve">Paralegal</t>
  </si>
  <si>
    <t xml:space="preserve">2026-09-23</t>
  </si>
  <si>
    <t xml:space="preserve">Van Meekeren Farms Ltd.</t>
  </si>
  <si>
    <t xml:space="preserve">237 Thorpe Rd, Kentville, NS B4N 3V7</t>
  </si>
  <si>
    <t xml:space="preserve">Fruit farm</t>
  </si>
  <si>
    <t xml:space="preserve">"I saw you're hiring a fruit packer. Staffkin does the job ad, interview questions and reference checks. First job is free."</t>
  </si>
  <si>
    <t xml:space="preserve">Fruit packer</t>
  </si>
  <si>
    <t xml:space="preserve">King's Janitorial Inc.</t>
  </si>
  <si>
    <t xml:space="preserve">Address not posted</t>
  </si>
  <si>
    <t xml:space="preserve">Commercial cleaning</t>
  </si>
  <si>
    <t xml:space="preserve">Eric Turner (snow removal)</t>
  </si>
  <si>
    <t xml:space="preserve">Address not posted (postal code B4N 4K4)</t>
  </si>
  <si>
    <t xml:space="preserve">Snow removal contractor</t>
  </si>
  <si>
    <t xml:space="preserve">"I saw you're hiring a snow removal operator. Staffkin does the job ad, interview questions and reference checks. First job is free."</t>
  </si>
  <si>
    <t xml:space="preserve">Snow removal operator</t>
  </si>
  <si>
    <t xml:space="preserve">Option</t>
  </si>
  <si>
    <t xml:space="preserve">Per letter sheet</t>
  </si>
  <si>
    <t xml:space="preserve">Pieces needed</t>
  </si>
  <si>
    <t xml:space="preserve">Sheets to print</t>
  </si>
  <si>
    <t xml:space="preserve">Where it goes</t>
  </si>
  <si>
    <t xml:space="preserve">A · Counter card</t>
  </si>
  <si>
    <t xml:space="preserve">Restaurants, cafés, bookkeepers, wineries, hiring-now shops (+10 spares)</t>
  </si>
  <si>
    <t xml:space="preserve">B · Reference postcard (print front and back)</t>
  </si>
  <si>
    <t xml:space="preserve">Hiring-now businesses with no street address (+8 spares)</t>
  </si>
  <si>
    <t xml:space="preserve">C · Board poster</t>
  </si>
  <si>
    <t xml:space="preserve">Chamber/CBDC office, libraries, print shops (+2 spares)</t>
  </si>
  <si>
    <t xml:space="preserve">D · Pocket cards</t>
  </si>
  <si>
    <t xml:space="preserve">Trades counters, salons, garages, shops (3 each +20 spares)</t>
  </si>
  <si>
    <t xml:space="preserve">Total sheets</t>
  </si>
  <si>
    <t xml:space="preserve">Postcard: print the front sheet, flip the stack and print the back sheet on the other side (flip on long edge). All four backs are the same, so they line up either way.</t>
  </si>
  <si>
    <t xml:space="preserve">Counts come from the "What to leave" column, so they update if you change it. Spares are assumptions; edit the formulas to change them.</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</si>
</sst>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3"/>
      <color rgb="FF2E2A6B"/>
      <name val="Arial"/>
      <family val="0"/>
      <charset val="1"/>
    </font>
    <font>
      <sz val="10"/>
      <color rgb="FF000000"/>
      <name val="Arial"/>
      <family val="0"/>
      <charset val="1"/>
    </font>
    <font>
      <b val="true"/>
      <sz val="10"/>
      <color rgb="FF2E2A6B"/>
      <name val="Arial"/>
      <family val="0"/>
      <charset val="1"/>
    </font>
    <font>
      <i val="true"/>
      <sz val="10"/>
      <name val="Arial"/>
      <family val="0"/>
      <charset val="1"/>
    </font>
    <font>
      <b val="true"/>
      <sz val="11"/>
      <name val="Arial"/>
      <family val="0"/>
      <charset val="1"/>
    </font>
    <font>
      <b val="true"/>
      <sz val="11"/>
      <color rgb="FFFFFFFF"/>
      <name val="Arial"/>
      <family val="0"/>
      <charset val="1"/>
    </font>
    <font>
      <sz val="10"/>
      <name val="Arial"/>
      <family val="0"/>
      <charset val="1"/>
    </font>
    <font>
      <u val="single"/>
      <sz val="10"/>
      <color rgb="FF0563C1"/>
      <name val="Arial"/>
      <family val="0"/>
      <charset val="1"/>
    </font>
  </fonts>
  <fills count="4">
    <fill>
      <patternFill patternType="none"/>
    </fill>
    <fill>
      <patternFill patternType="gray125"/>
    </fill>
    <fill>
      <patternFill patternType="solid">
        <fgColor rgb="FF2E2A6B"/>
        <bgColor rgb="FF333333"/>
      </patternFill>
    </fill>
    <fill>
      <patternFill patternType="solid">
        <fgColor rgb="FFFFF7CC"/>
        <bgColor rgb="FFFFFFFF"/>
      </patternFill>
    </fill>
  </fills>
  <borders count="2">
    <border diagonalUp="false" diagonalDown="false">
      <left/>
      <right/>
      <top/>
      <bottom/>
      <diagonal/>
    </border>
    <border diagonalUp="false" diagonalDown="false">
      <left style="thin">
        <color rgb="FFD0D0E0"/>
      </left>
      <right style="thin">
        <color rgb="FFD0D0E0"/>
      </right>
      <top style="thin">
        <color rgb="FFD0D0E0"/>
      </top>
      <bottom style="thin">
        <color rgb="FFD0D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4" fontId="10" fillId="3"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2E2A6B"/>
          <bgColor rgb="FF000000"/>
        </patternFill>
      </fill>
    </dxf>
    <dxf>
      <fill>
        <patternFill patternType="solid">
          <fgColor rgb="FFFFF7CC"/>
          <bgColor rgb="FF000000"/>
        </patternFill>
      </fill>
    </dxf>
    <dxf>
      <fill>
        <patternFill patternType="solid">
          <fgColor rgb="FFFFFFFF"/>
          <bgColor rgb="FF000000"/>
        </patternFill>
      </fill>
    </dxf>
    <dxf>
      <fill>
        <patternFill patternType="solid">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7CC"/>
      <rgbColor rgb="FFCCFFFF"/>
      <rgbColor rgb="FF660066"/>
      <rgbColor rgb="FFFF8080"/>
      <rgbColor rgb="FF0563C1"/>
      <rgbColor rgb="FFD0D0E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E2A6B"/>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6.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row>
    <row r="9" customFormat="false" ht="15" hidden="false" customHeight="false" outlineLevel="0" collapsed="false">
      <c r="A9" s="3" t="s">
        <v>6</v>
      </c>
    </row>
    <row r="10" customFormat="false" ht="23.8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row>
    <row r="13" customFormat="false" ht="15" hidden="false" customHeight="false" outlineLevel="0" collapsed="false">
      <c r="A13" s="3" t="s">
        <v>9</v>
      </c>
    </row>
    <row r="14" customFormat="false" ht="15" hidden="false" customHeight="false" outlineLevel="0" collapsed="false">
      <c r="A14" s="2" t="s">
        <v>10</v>
      </c>
    </row>
    <row r="15" customFormat="false" ht="15" hidden="false" customHeight="false" outlineLevel="0" collapsed="false">
      <c r="A15" s="2"/>
    </row>
    <row r="16" customFormat="false" ht="15" hidden="false" customHeight="false" outlineLevel="0" collapsed="false">
      <c r="A16" s="3" t="s">
        <v>11</v>
      </c>
    </row>
    <row r="17" customFormat="false" ht="15" hidden="false" customHeight="false" outlineLevel="0" collapsed="false">
      <c r="A17" s="2" t="s">
        <v>12</v>
      </c>
    </row>
    <row r="18" customFormat="false" ht="15" hidden="false" customHeight="false" outlineLevel="0" collapsed="false">
      <c r="A18" s="2"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1"/>
    <col collapsed="false" customWidth="true" hidden="false" outlineLevel="0" max="3" min="3" style="0" width="12"/>
    <col collapsed="false" customWidth="true" hidden="false" outlineLevel="0" max="4" min="4" style="0" width="34"/>
    <col collapsed="false" customWidth="true" hidden="false" outlineLevel="0" max="5" min="5" style="0" width="40"/>
    <col collapsed="false" customWidth="true" hidden="false" outlineLevel="0" max="6" min="6" style="0" width="22"/>
    <col collapsed="false" customWidth="true" hidden="false" outlineLevel="0" max="7" min="7" style="0" width="30"/>
    <col collapsed="false" customWidth="true" hidden="false" outlineLevel="0" max="8" min="8" style="0" width="52"/>
    <col collapsed="false" customWidth="true" hidden="false" outlineLevel="0" max="9" min="9" style="0" width="18"/>
    <col collapsed="false" customWidth="true" hidden="false" outlineLevel="0" max="10" min="10" style="0" width="11"/>
    <col collapsed="false" customWidth="true" hidden="false" outlineLevel="0" max="11" min="11" style="0" width="9"/>
    <col collapsed="false" customWidth="true" hidden="false" outlineLevel="0" max="12" min="12" style="0" width="38"/>
    <col collapsed="false" customWidth="true" hidden="false" outlineLevel="0" max="13" min="13" style="0" width="12"/>
    <col collapsed="false" customWidth="true" hidden="false" outlineLevel="0" max="15" min="14" style="0" width="11"/>
    <col collapsed="false" customWidth="true" hidden="false" outlineLevel="0" max="16" min="16" style="0" width="8"/>
  </cols>
  <sheetData>
    <row r="1" customFormat="false" ht="16.15" hidden="false" customHeight="false" outlineLevel="0" collapsed="false">
      <c r="A1" s="4" t="s">
        <v>14</v>
      </c>
    </row>
    <row r="2" customFormat="false" ht="15" hidden="false" customHeight="false" outlineLevel="0" collapsed="false">
      <c r="A2" s="5" t="s">
        <v>15</v>
      </c>
    </row>
    <row r="3" customFormat="false" ht="15" hidden="false" customHeight="false" outlineLevel="0" collapsed="false">
      <c r="J3" s="6" t="s">
        <v>16</v>
      </c>
      <c r="K3" s="6" t="str">
        <f aca="false">COUNTIF(K5:K63,"Y")&amp;" of "&amp;COUNTA(D5:D63)</f>
        <v>0 of 59</v>
      </c>
    </row>
    <row r="4" customFormat="false" ht="39.55" hidden="false" customHeight="false" outlineLevel="0" collapsed="false">
      <c r="A4" s="7" t="s">
        <v>17</v>
      </c>
      <c r="B4" s="7" t="s">
        <v>18</v>
      </c>
      <c r="C4" s="7" t="s">
        <v>19</v>
      </c>
      <c r="D4" s="7" t="s">
        <v>20</v>
      </c>
      <c r="E4" s="7" t="s">
        <v>21</v>
      </c>
      <c r="F4" s="7" t="s">
        <v>22</v>
      </c>
      <c r="G4" s="7" t="s">
        <v>23</v>
      </c>
      <c r="H4" s="7" t="s">
        <v>24</v>
      </c>
      <c r="I4" s="7" t="s">
        <v>25</v>
      </c>
      <c r="J4" s="7" t="s">
        <v>26</v>
      </c>
      <c r="K4" s="7" t="s">
        <v>27</v>
      </c>
      <c r="L4" s="7" t="s">
        <v>28</v>
      </c>
      <c r="M4" s="7" t="s">
        <v>29</v>
      </c>
      <c r="N4" s="7" t="s">
        <v>30</v>
      </c>
      <c r="O4" s="7" t="s">
        <v>31</v>
      </c>
      <c r="P4" s="7" t="s">
        <v>32</v>
      </c>
    </row>
    <row r="5" customFormat="false" ht="35.05" hidden="false" customHeight="false" outlineLevel="0" collapsed="false">
      <c r="A5" s="8"/>
      <c r="B5" s="9" t="s">
        <v>33</v>
      </c>
      <c r="C5" s="9" t="s">
        <v>34</v>
      </c>
      <c r="D5" s="10" t="s">
        <v>35</v>
      </c>
      <c r="E5" s="10" t="s">
        <v>36</v>
      </c>
      <c r="F5" s="9" t="s">
        <v>37</v>
      </c>
      <c r="G5" s="10" t="s">
        <v>38</v>
      </c>
      <c r="H5" s="10" t="s">
        <v>39</v>
      </c>
      <c r="I5" s="9" t="s">
        <v>40</v>
      </c>
      <c r="J5" s="9" t="n">
        <v>1</v>
      </c>
      <c r="K5" s="8"/>
      <c r="L5" s="11"/>
      <c r="M5" s="9"/>
      <c r="N5" s="9" t="n">
        <v>45.066907</v>
      </c>
      <c r="O5" s="9" t="n">
        <v>-64.573217</v>
      </c>
      <c r="P5" s="12" t="str">
        <f aca="false">HYPERLINK("https://www.google.com/maps/search/?api=1&amp;query=Callister%27s%20Country%20Kitchen%2C%207076%20Evangeline%20Trl%2C%20Coldbrook%2C%20NS%20B4R%201C1","Map")</f>
        <v>Map</v>
      </c>
    </row>
    <row r="6" customFormat="false" ht="35.05" hidden="false" customHeight="false" outlineLevel="0" collapsed="false">
      <c r="A6" s="8"/>
      <c r="B6" s="9" t="s">
        <v>33</v>
      </c>
      <c r="C6" s="9" t="s">
        <v>34</v>
      </c>
      <c r="D6" s="10" t="s">
        <v>41</v>
      </c>
      <c r="E6" s="10" t="s">
        <v>42</v>
      </c>
      <c r="F6" s="9" t="s">
        <v>37</v>
      </c>
      <c r="G6" s="10" t="s">
        <v>38</v>
      </c>
      <c r="H6" s="10" t="s">
        <v>39</v>
      </c>
      <c r="I6" s="9" t="s">
        <v>43</v>
      </c>
      <c r="J6" s="9" t="n">
        <v>1</v>
      </c>
      <c r="K6" s="8"/>
      <c r="L6" s="11"/>
      <c r="M6" s="9"/>
      <c r="N6" s="9" t="n">
        <v>45.067818</v>
      </c>
      <c r="O6" s="9" t="n">
        <v>-64.568481</v>
      </c>
      <c r="P6" s="12" t="str">
        <f aca="false">HYPERLINK("https://www.google.com/maps/search/?api=1&amp;query=Scott%27s%20Fish%20%26%20Chips%2C%207165%20Nova%20Scotia%20Trunk%201%2C%20Coldbrook%2C%20NS%20B4R%201A2","Map")</f>
        <v>Map</v>
      </c>
    </row>
    <row r="7" customFormat="false" ht="35.05" hidden="false" customHeight="false" outlineLevel="0" collapsed="false">
      <c r="A7" s="8"/>
      <c r="B7" s="9" t="s">
        <v>33</v>
      </c>
      <c r="C7" s="9" t="s">
        <v>34</v>
      </c>
      <c r="D7" s="10" t="s">
        <v>44</v>
      </c>
      <c r="E7" s="10" t="s">
        <v>45</v>
      </c>
      <c r="F7" s="9" t="s">
        <v>37</v>
      </c>
      <c r="G7" s="10" t="s">
        <v>38</v>
      </c>
      <c r="H7" s="10" t="s">
        <v>39</v>
      </c>
      <c r="I7" s="9" t="s">
        <v>43</v>
      </c>
      <c r="J7" s="9" t="n">
        <v>1</v>
      </c>
      <c r="K7" s="8"/>
      <c r="L7" s="11"/>
      <c r="M7" s="9"/>
      <c r="N7" s="9" t="n">
        <v>45.069206</v>
      </c>
      <c r="O7" s="9" t="n">
        <v>-64.559459</v>
      </c>
      <c r="P7" s="12" t="str">
        <f aca="false">HYPERLINK("https://www.google.com/maps/search/?api=1&amp;query=Kai-Wing%20Restaurant%20Ltd%2C%207299%20Nova%20Scotia%20Trunk%201%2C%20Coldbrook%2C%20NS%20B4R%201B9","Map")</f>
        <v>Map</v>
      </c>
    </row>
    <row r="8" customFormat="false" ht="35.05" hidden="false" customHeight="false" outlineLevel="0" collapsed="false">
      <c r="A8" s="8"/>
      <c r="B8" s="9" t="s">
        <v>33</v>
      </c>
      <c r="C8" s="9" t="s">
        <v>46</v>
      </c>
      <c r="D8" s="10" t="s">
        <v>47</v>
      </c>
      <c r="E8" s="10" t="s">
        <v>48</v>
      </c>
      <c r="F8" s="9" t="s">
        <v>49</v>
      </c>
      <c r="G8" s="10" t="s">
        <v>50</v>
      </c>
      <c r="H8" s="10" t="s">
        <v>51</v>
      </c>
      <c r="I8" s="9" t="s">
        <v>52</v>
      </c>
      <c r="J8" s="9" t="n">
        <v>1</v>
      </c>
      <c r="K8" s="8"/>
      <c r="L8" s="11" t="s">
        <v>53</v>
      </c>
      <c r="M8" s="9" t="s">
        <v>54</v>
      </c>
      <c r="N8" s="9" t="n">
        <v>45.077617</v>
      </c>
      <c r="O8" s="9" t="n">
        <v>-64.492748</v>
      </c>
      <c r="P8" s="12" t="str">
        <f aca="false">HYPERLINK("https://www.google.com/maps/search/?api=1&amp;query=Infinite%20Solutions%20Bookkeeping%20%26%20Accounting%20Inc.%2C%2025%20Webster%20Ct%2C%20Kentville%2C%20NS%20B4N%201H3","Map")</f>
        <v>Map</v>
      </c>
    </row>
    <row r="9" customFormat="false" ht="35.05" hidden="false" customHeight="false" outlineLevel="0" collapsed="false">
      <c r="A9" s="8"/>
      <c r="B9" s="9" t="s">
        <v>33</v>
      </c>
      <c r="C9" s="9" t="s">
        <v>46</v>
      </c>
      <c r="D9" s="10" t="s">
        <v>55</v>
      </c>
      <c r="E9" s="10" t="s">
        <v>56</v>
      </c>
      <c r="F9" s="9" t="s">
        <v>49</v>
      </c>
      <c r="G9" s="10" t="s">
        <v>50</v>
      </c>
      <c r="H9" s="10" t="s">
        <v>51</v>
      </c>
      <c r="I9" s="9" t="s">
        <v>52</v>
      </c>
      <c r="J9" s="9" t="n">
        <v>1</v>
      </c>
      <c r="K9" s="8"/>
      <c r="L9" s="11"/>
      <c r="M9" s="9" t="s">
        <v>54</v>
      </c>
      <c r="N9" s="9" t="n">
        <v>45.0773</v>
      </c>
      <c r="O9" s="9" t="n">
        <v>-64.49877</v>
      </c>
      <c r="P9" s="12" t="str">
        <f aca="false">HYPERLINK("https://www.google.com/maps/search/?api=1&amp;query=mbf%20%7C%20Chartered%20Professional%20Accountants%2C%20464%20Main%20St%2C%20Kentville%2C%20NS%20B4N%201K8","Map")</f>
        <v>Map</v>
      </c>
    </row>
    <row r="10" customFormat="false" ht="35.05" hidden="false" customHeight="false" outlineLevel="0" collapsed="false">
      <c r="A10" s="8"/>
      <c r="B10" s="9" t="s">
        <v>33</v>
      </c>
      <c r="C10" s="9" t="s">
        <v>46</v>
      </c>
      <c r="D10" s="10" t="s">
        <v>57</v>
      </c>
      <c r="E10" s="10" t="s">
        <v>58</v>
      </c>
      <c r="F10" s="9" t="s">
        <v>49</v>
      </c>
      <c r="G10" s="10" t="s">
        <v>50</v>
      </c>
      <c r="H10" s="10" t="s">
        <v>51</v>
      </c>
      <c r="I10" s="9" t="s">
        <v>59</v>
      </c>
      <c r="J10" s="9" t="n">
        <v>1</v>
      </c>
      <c r="K10" s="8"/>
      <c r="L10" s="11"/>
      <c r="M10" s="9"/>
      <c r="N10" s="9" t="n">
        <v>45.076999</v>
      </c>
      <c r="O10" s="9" t="n">
        <v>-64.496139</v>
      </c>
      <c r="P10" s="12" t="str">
        <f aca="false">HYPERLINK("https://www.google.com/maps/search/?api=1&amp;query=Bage%20CPA%2C%20402%20Main%20St%2C%20Kentville%2C%20NS%20B4N%201K8","Map")</f>
        <v>Map</v>
      </c>
    </row>
    <row r="11" customFormat="false" ht="35.05" hidden="false" customHeight="false" outlineLevel="0" collapsed="false">
      <c r="A11" s="8"/>
      <c r="B11" s="9" t="s">
        <v>33</v>
      </c>
      <c r="C11" s="9" t="s">
        <v>46</v>
      </c>
      <c r="D11" s="10" t="s">
        <v>60</v>
      </c>
      <c r="E11" s="10" t="s">
        <v>61</v>
      </c>
      <c r="F11" s="9" t="s">
        <v>49</v>
      </c>
      <c r="G11" s="10" t="s">
        <v>50</v>
      </c>
      <c r="H11" s="10" t="s">
        <v>51</v>
      </c>
      <c r="I11" s="9"/>
      <c r="J11" s="9" t="n">
        <v>1</v>
      </c>
      <c r="K11" s="8"/>
      <c r="L11" s="11" t="s">
        <v>62</v>
      </c>
      <c r="M11" s="9" t="s">
        <v>54</v>
      </c>
      <c r="N11" s="9" t="n">
        <v>45.06391</v>
      </c>
      <c r="O11" s="9" t="n">
        <v>-64.546389</v>
      </c>
      <c r="P11" s="12" t="str">
        <f aca="false">HYPERLINK("https://www.google.com/maps/search/?api=1&amp;query=Kent%20%26%20Duffett%20Chartered%20Professional%20Accountants%2C%2046%20Chipman%20Dr%20Unit%201%2C%20Kentville%2C%20NS%20B4N%203V7","Map")</f>
        <v>Map</v>
      </c>
    </row>
    <row r="12" customFormat="false" ht="35.05" hidden="false" customHeight="false" outlineLevel="0" collapsed="false">
      <c r="A12" s="8"/>
      <c r="B12" s="9" t="s">
        <v>33</v>
      </c>
      <c r="C12" s="9" t="s">
        <v>46</v>
      </c>
      <c r="D12" s="10" t="s">
        <v>63</v>
      </c>
      <c r="E12" s="10" t="s">
        <v>64</v>
      </c>
      <c r="F12" s="9" t="s">
        <v>49</v>
      </c>
      <c r="G12" s="10" t="s">
        <v>50</v>
      </c>
      <c r="H12" s="10" t="s">
        <v>51</v>
      </c>
      <c r="I12" s="9" t="s">
        <v>65</v>
      </c>
      <c r="J12" s="9" t="n">
        <v>1</v>
      </c>
      <c r="K12" s="8"/>
      <c r="L12" s="11" t="s">
        <v>66</v>
      </c>
      <c r="M12" s="9"/>
      <c r="N12" s="9" t="n">
        <v>45.07824</v>
      </c>
      <c r="O12" s="9" t="n">
        <v>-64.49468</v>
      </c>
      <c r="P12" s="12" t="str">
        <f aca="false">HYPERLINK("https://www.google.com/maps/search/?api=1&amp;query=Doane%20Grant%20Thornton%20LLP%2C%2015%20Webster%20St%2C%20Kentville%2C%20NS%20B4N%201H4","Map")</f>
        <v>Map</v>
      </c>
    </row>
    <row r="13" customFormat="false" ht="23.85" hidden="false" customHeight="false" outlineLevel="0" collapsed="false">
      <c r="A13" s="8"/>
      <c r="B13" s="9" t="s">
        <v>33</v>
      </c>
      <c r="C13" s="9" t="s">
        <v>46</v>
      </c>
      <c r="D13" s="10" t="s">
        <v>67</v>
      </c>
      <c r="E13" s="10" t="s">
        <v>68</v>
      </c>
      <c r="F13" s="9" t="s">
        <v>69</v>
      </c>
      <c r="G13" s="10" t="s">
        <v>70</v>
      </c>
      <c r="H13" s="10" t="s">
        <v>71</v>
      </c>
      <c r="I13" s="9" t="s">
        <v>72</v>
      </c>
      <c r="J13" s="9" t="n">
        <v>1</v>
      </c>
      <c r="K13" s="8"/>
      <c r="L13" s="11" t="s">
        <v>73</v>
      </c>
      <c r="M13" s="9" t="s">
        <v>54</v>
      </c>
      <c r="N13" s="9" t="n">
        <v>45.077102</v>
      </c>
      <c r="O13" s="9" t="n">
        <v>-64.498013</v>
      </c>
      <c r="P13" s="12" t="str">
        <f aca="false">HYPERLINK("https://www.google.com/maps/search/?api=1&amp;query=Annapolis%20Valley%20Chamber%20of%20Commerce%2C%20448%20Main%20St%2C%20Kentville%2C%20NS%20B4N%201R5","Map")</f>
        <v>Map</v>
      </c>
    </row>
    <row r="14" customFormat="false" ht="23.85" hidden="false" customHeight="false" outlineLevel="0" collapsed="false">
      <c r="A14" s="8"/>
      <c r="B14" s="9" t="s">
        <v>33</v>
      </c>
      <c r="C14" s="9" t="s">
        <v>46</v>
      </c>
      <c r="D14" s="10" t="s">
        <v>74</v>
      </c>
      <c r="E14" s="10" t="s">
        <v>68</v>
      </c>
      <c r="F14" s="9" t="s">
        <v>69</v>
      </c>
      <c r="G14" s="10" t="s">
        <v>50</v>
      </c>
      <c r="H14" s="10" t="s">
        <v>71</v>
      </c>
      <c r="I14" s="9" t="s">
        <v>52</v>
      </c>
      <c r="J14" s="9" t="n">
        <v>1</v>
      </c>
      <c r="K14" s="8"/>
      <c r="L14" s="11" t="s">
        <v>75</v>
      </c>
      <c r="M14" s="9" t="s">
        <v>54</v>
      </c>
      <c r="N14" s="9" t="n">
        <v>45.077102</v>
      </c>
      <c r="O14" s="9" t="n">
        <v>-64.498013</v>
      </c>
      <c r="P14" s="12" t="str">
        <f aca="false">HYPERLINK("https://www.google.com/maps/search/?api=1&amp;query=CBDC%20Hants-Kings%2C%20448%20Main%20St%2C%20Kentville%2C%20NS%20B4N%201R5","Map")</f>
        <v>Map</v>
      </c>
    </row>
    <row r="15" customFormat="false" ht="23.85" hidden="false" customHeight="false" outlineLevel="0" collapsed="false">
      <c r="A15" s="8"/>
      <c r="B15" s="9" t="s">
        <v>33</v>
      </c>
      <c r="C15" s="9" t="s">
        <v>46</v>
      </c>
      <c r="D15" s="10" t="s">
        <v>76</v>
      </c>
      <c r="E15" s="10" t="s">
        <v>68</v>
      </c>
      <c r="F15" s="9" t="s">
        <v>69</v>
      </c>
      <c r="G15" s="10" t="s">
        <v>50</v>
      </c>
      <c r="H15" s="10" t="s">
        <v>71</v>
      </c>
      <c r="I15" s="9" t="s">
        <v>52</v>
      </c>
      <c r="J15" s="9" t="n">
        <v>1</v>
      </c>
      <c r="K15" s="8"/>
      <c r="L15" s="11"/>
      <c r="M15" s="9" t="s">
        <v>54</v>
      </c>
      <c r="N15" s="9" t="n">
        <v>45.077102</v>
      </c>
      <c r="O15" s="9" t="n">
        <v>-64.498013</v>
      </c>
      <c r="P15" s="12" t="str">
        <f aca="false">HYPERLINK("https://www.google.com/maps/search/?api=1&amp;query=Valley%20Regional%20Enterprise%20Network%2C%20448%20Main%20St%2C%20Kentville%2C%20NS%20B4N%201R5","Map")</f>
        <v>Map</v>
      </c>
    </row>
    <row r="16" customFormat="false" ht="23.85" hidden="false" customHeight="false" outlineLevel="0" collapsed="false">
      <c r="A16" s="8"/>
      <c r="B16" s="9" t="s">
        <v>33</v>
      </c>
      <c r="C16" s="9" t="s">
        <v>46</v>
      </c>
      <c r="D16" s="10" t="s">
        <v>77</v>
      </c>
      <c r="E16" s="10" t="s">
        <v>68</v>
      </c>
      <c r="F16" s="9" t="s">
        <v>69</v>
      </c>
      <c r="G16" s="10" t="s">
        <v>50</v>
      </c>
      <c r="H16" s="10" t="s">
        <v>71</v>
      </c>
      <c r="I16" s="9" t="s">
        <v>52</v>
      </c>
      <c r="J16" s="9" t="n">
        <v>1</v>
      </c>
      <c r="K16" s="8"/>
      <c r="L16" s="11"/>
      <c r="M16" s="9" t="s">
        <v>54</v>
      </c>
      <c r="N16" s="9" t="n">
        <v>45.077102</v>
      </c>
      <c r="O16" s="9" t="n">
        <v>-64.498013</v>
      </c>
      <c r="P16" s="12" t="str">
        <f aca="false">HYPERLINK("https://www.google.com/maps/search/?api=1&amp;query=Valley%20Business%20Hub%2C%20448%20Main%20St%2C%20Kentville%2C%20NS%20B4N%201R5","Map")</f>
        <v>Map</v>
      </c>
    </row>
    <row r="17" customFormat="false" ht="35.05" hidden="false" customHeight="false" outlineLevel="0" collapsed="false">
      <c r="A17" s="8"/>
      <c r="B17" s="9" t="s">
        <v>33</v>
      </c>
      <c r="C17" s="9" t="s">
        <v>46</v>
      </c>
      <c r="D17" s="10" t="s">
        <v>78</v>
      </c>
      <c r="E17" s="10" t="s">
        <v>79</v>
      </c>
      <c r="F17" s="9" t="s">
        <v>37</v>
      </c>
      <c r="G17" s="10" t="s">
        <v>38</v>
      </c>
      <c r="H17" s="10" t="s">
        <v>39</v>
      </c>
      <c r="I17" s="9" t="s">
        <v>80</v>
      </c>
      <c r="J17" s="9" t="n">
        <v>1</v>
      </c>
      <c r="K17" s="8"/>
      <c r="L17" s="11"/>
      <c r="M17" s="9"/>
      <c r="N17" s="9" t="n">
        <v>45.077081</v>
      </c>
      <c r="O17" s="9" t="n">
        <v>-64.493675</v>
      </c>
      <c r="P17" s="12" t="str">
        <f aca="false">HYPERLINK("https://www.google.com/maps/search/?api=1&amp;query=Maritime%20Express%20Cider%20Co.%2C%20325%20Main%20St%2C%20Kentville%2C%20NS%20B4N%201K5","Map")</f>
        <v>Map</v>
      </c>
    </row>
    <row r="18" customFormat="false" ht="35.05" hidden="false" customHeight="false" outlineLevel="0" collapsed="false">
      <c r="A18" s="8"/>
      <c r="B18" s="9" t="s">
        <v>33</v>
      </c>
      <c r="C18" s="9" t="s">
        <v>46</v>
      </c>
      <c r="D18" s="10" t="s">
        <v>81</v>
      </c>
      <c r="E18" s="10" t="s">
        <v>82</v>
      </c>
      <c r="F18" s="9" t="s">
        <v>37</v>
      </c>
      <c r="G18" s="10" t="s">
        <v>38</v>
      </c>
      <c r="H18" s="10" t="s">
        <v>39</v>
      </c>
      <c r="I18" s="9" t="s">
        <v>83</v>
      </c>
      <c r="J18" s="9" t="n">
        <v>1</v>
      </c>
      <c r="K18" s="8"/>
      <c r="L18" s="11"/>
      <c r="M18" s="9"/>
      <c r="N18" s="9" t="n">
        <v>45.078171</v>
      </c>
      <c r="O18" s="9" t="n">
        <v>-64.496651</v>
      </c>
      <c r="P18" s="12" t="str">
        <f aca="false">HYPERLINK("https://www.google.com/maps/search/?api=1&amp;query=Paddy%27s%20Irish%20Brewpub%20%26%20Rosie%27s%20Restaurant%2C%2042%20Aberdeen%20St%2C%20Kentville%2C%20NS%20B4N%202N1","Map")</f>
        <v>Map</v>
      </c>
    </row>
    <row r="19" customFormat="false" ht="35.05" hidden="false" customHeight="false" outlineLevel="0" collapsed="false">
      <c r="A19" s="8"/>
      <c r="B19" s="9" t="s">
        <v>33</v>
      </c>
      <c r="C19" s="9" t="s">
        <v>46</v>
      </c>
      <c r="D19" s="10" t="s">
        <v>84</v>
      </c>
      <c r="E19" s="10" t="s">
        <v>85</v>
      </c>
      <c r="F19" s="9" t="s">
        <v>37</v>
      </c>
      <c r="G19" s="10" t="s">
        <v>38</v>
      </c>
      <c r="H19" s="10" t="s">
        <v>39</v>
      </c>
      <c r="I19" s="9" t="s">
        <v>80</v>
      </c>
      <c r="J19" s="9" t="n">
        <v>1</v>
      </c>
      <c r="K19" s="8"/>
      <c r="L19" s="11"/>
      <c r="M19" s="9"/>
      <c r="N19" s="9" t="n">
        <v>45.076964</v>
      </c>
      <c r="O19" s="9" t="n">
        <v>-64.495826</v>
      </c>
      <c r="P19" s="12" t="str">
        <f aca="false">HYPERLINK("https://www.google.com/maps/search/?api=1&amp;query=Kings%20Arms%20Pub%2C%20390%20Main%20St%2C%20Kentville%2C%20NS%20B4N%201K8","Map")</f>
        <v>Map</v>
      </c>
    </row>
    <row r="20" customFormat="false" ht="35.05" hidden="false" customHeight="false" outlineLevel="0" collapsed="false">
      <c r="A20" s="8"/>
      <c r="B20" s="9" t="s">
        <v>33</v>
      </c>
      <c r="C20" s="9" t="s">
        <v>46</v>
      </c>
      <c r="D20" s="10" t="s">
        <v>86</v>
      </c>
      <c r="E20" s="10" t="s">
        <v>87</v>
      </c>
      <c r="F20" s="9" t="s">
        <v>37</v>
      </c>
      <c r="G20" s="10" t="s">
        <v>38</v>
      </c>
      <c r="H20" s="10" t="s">
        <v>39</v>
      </c>
      <c r="I20" s="9" t="s">
        <v>80</v>
      </c>
      <c r="J20" s="9" t="n">
        <v>1</v>
      </c>
      <c r="K20" s="8"/>
      <c r="L20" s="11"/>
      <c r="M20" s="9"/>
      <c r="N20" s="9" t="n">
        <v>45.077486</v>
      </c>
      <c r="O20" s="9" t="n">
        <v>-64.4976</v>
      </c>
      <c r="P20" s="12" t="str">
        <f aca="false">HYPERLINK("https://www.google.com/maps/search/?api=1&amp;query=TACOcentric%2C%20437%20Main%20St%2C%20Kentville%2C%20NS%20B4N%201K9","Map")</f>
        <v>Map</v>
      </c>
    </row>
    <row r="21" customFormat="false" ht="35.05" hidden="false" customHeight="false" outlineLevel="0" collapsed="false">
      <c r="A21" s="8"/>
      <c r="B21" s="9" t="s">
        <v>33</v>
      </c>
      <c r="C21" s="9" t="s">
        <v>46</v>
      </c>
      <c r="D21" s="10" t="s">
        <v>88</v>
      </c>
      <c r="E21" s="10" t="s">
        <v>89</v>
      </c>
      <c r="F21" s="9" t="s">
        <v>37</v>
      </c>
      <c r="G21" s="10" t="s">
        <v>38</v>
      </c>
      <c r="H21" s="10" t="s">
        <v>39</v>
      </c>
      <c r="I21" s="9" t="s">
        <v>90</v>
      </c>
      <c r="J21" s="9" t="n">
        <v>1</v>
      </c>
      <c r="K21" s="8"/>
      <c r="L21" s="11"/>
      <c r="M21" s="9" t="s">
        <v>54</v>
      </c>
      <c r="N21" s="9" t="n">
        <v>45.077386</v>
      </c>
      <c r="O21" s="9" t="n">
        <v>-64.495945</v>
      </c>
      <c r="P21" s="12" t="str">
        <f aca="false">HYPERLINK("https://www.google.com/maps/search/?api=1&amp;query=Half%20Acre%20Cafe%2C%20395%20Main%20St%2C%20Kentville%2C%20NS%20B4N%202E2","Map")</f>
        <v>Map</v>
      </c>
    </row>
    <row r="22" customFormat="false" ht="35.05" hidden="false" customHeight="false" outlineLevel="0" collapsed="false">
      <c r="A22" s="8"/>
      <c r="B22" s="9" t="s">
        <v>33</v>
      </c>
      <c r="C22" s="9" t="s">
        <v>46</v>
      </c>
      <c r="D22" s="10" t="s">
        <v>91</v>
      </c>
      <c r="E22" s="10" t="s">
        <v>92</v>
      </c>
      <c r="F22" s="9" t="s">
        <v>37</v>
      </c>
      <c r="G22" s="10" t="s">
        <v>38</v>
      </c>
      <c r="H22" s="10" t="s">
        <v>39</v>
      </c>
      <c r="I22" s="9" t="s">
        <v>90</v>
      </c>
      <c r="J22" s="9" t="n">
        <v>1</v>
      </c>
      <c r="K22" s="8"/>
      <c r="L22" s="11"/>
      <c r="M22" s="9" t="s">
        <v>54</v>
      </c>
      <c r="N22" s="9" t="n">
        <v>45.077955</v>
      </c>
      <c r="O22" s="9" t="n">
        <v>-64.494369</v>
      </c>
      <c r="P22" s="12" t="str">
        <f aca="false">HYPERLINK("https://www.google.com/maps/search/?api=1&amp;query=Wheelhouse%20Coffee%20Co.%2C%202%20Webster%20St%2C%20Kentville%2C%20NS%20B4N%201H7","Map")</f>
        <v>Map</v>
      </c>
    </row>
    <row r="23" customFormat="false" ht="35.05" hidden="false" customHeight="false" outlineLevel="0" collapsed="false">
      <c r="A23" s="8"/>
      <c r="B23" s="9" t="s">
        <v>33</v>
      </c>
      <c r="C23" s="9" t="s">
        <v>46</v>
      </c>
      <c r="D23" s="10" t="s">
        <v>93</v>
      </c>
      <c r="E23" s="10" t="s">
        <v>94</v>
      </c>
      <c r="F23" s="9" t="s">
        <v>37</v>
      </c>
      <c r="G23" s="10" t="s">
        <v>38</v>
      </c>
      <c r="H23" s="10" t="s">
        <v>39</v>
      </c>
      <c r="I23" s="9" t="s">
        <v>95</v>
      </c>
      <c r="J23" s="9" t="n">
        <v>1</v>
      </c>
      <c r="K23" s="8"/>
      <c r="L23" s="11"/>
      <c r="M23" s="9" t="s">
        <v>54</v>
      </c>
      <c r="N23" s="9" t="n">
        <v>45.077399</v>
      </c>
      <c r="O23" s="9" t="n">
        <v>-64.496945</v>
      </c>
      <c r="P23" s="12" t="str">
        <f aca="false">HYPERLINK("https://www.google.com/maps/search/?api=1&amp;query=T.A.N.%20Coffee%20-%20Kentville%2C%20431%20Main%20St%2C%20Kentville%2C%20NS%20B4N%201K7","Map")</f>
        <v>Map</v>
      </c>
    </row>
    <row r="24" customFormat="false" ht="35.05" hidden="false" customHeight="false" outlineLevel="0" collapsed="false">
      <c r="A24" s="8"/>
      <c r="B24" s="9" t="s">
        <v>33</v>
      </c>
      <c r="C24" s="9" t="s">
        <v>96</v>
      </c>
      <c r="D24" s="10" t="s">
        <v>97</v>
      </c>
      <c r="E24" s="10" t="s">
        <v>98</v>
      </c>
      <c r="F24" s="9" t="s">
        <v>37</v>
      </c>
      <c r="G24" s="10" t="s">
        <v>38</v>
      </c>
      <c r="H24" s="10" t="s">
        <v>39</v>
      </c>
      <c r="I24" s="9" t="s">
        <v>99</v>
      </c>
      <c r="J24" s="9" t="n">
        <v>1</v>
      </c>
      <c r="K24" s="8"/>
      <c r="L24" s="11"/>
      <c r="M24" s="9"/>
      <c r="N24" s="9" t="n">
        <v>45.068817</v>
      </c>
      <c r="O24" s="9" t="n">
        <v>-64.4706</v>
      </c>
      <c r="P24" s="12" t="str">
        <f aca="false">HYPERLINK("https://www.google.com/maps/search/?api=1&amp;query=Cumin%20Kitchen%20and%20Drink%2C%2021%20Roy%20Ave%2C%20New%20Minas%2C%20NS%20B4N%203R7","Map")</f>
        <v>Map</v>
      </c>
    </row>
    <row r="25" customFormat="false" ht="35.05" hidden="false" customHeight="false" outlineLevel="0" collapsed="false">
      <c r="A25" s="8"/>
      <c r="B25" s="9" t="s">
        <v>33</v>
      </c>
      <c r="C25" s="9" t="s">
        <v>96</v>
      </c>
      <c r="D25" s="10" t="s">
        <v>100</v>
      </c>
      <c r="E25" s="10" t="s">
        <v>101</v>
      </c>
      <c r="F25" s="9" t="s">
        <v>37</v>
      </c>
      <c r="G25" s="10" t="s">
        <v>38</v>
      </c>
      <c r="H25" s="10" t="s">
        <v>39</v>
      </c>
      <c r="I25" s="9" t="s">
        <v>102</v>
      </c>
      <c r="J25" s="9" t="n">
        <v>1</v>
      </c>
      <c r="K25" s="8"/>
      <c r="L25" s="11" t="s">
        <v>103</v>
      </c>
      <c r="M25" s="9"/>
      <c r="N25" s="9" t="n">
        <v>45.068703</v>
      </c>
      <c r="O25" s="9" t="n">
        <v>-64.456049</v>
      </c>
      <c r="P25" s="12" t="str">
        <f aca="false">HYPERLINK("https://www.google.com/maps/search/?api=1&amp;query=St.%20Louis%20Bar%20%26%20Grill%2C%209049%20Commercial%20St%20Unit%206-7A%2C%20New%20Minas%2C%20NS%20B4N%205A4","Map")</f>
        <v>Map</v>
      </c>
    </row>
    <row r="26" customFormat="false" ht="35.05" hidden="false" customHeight="false" outlineLevel="0" collapsed="false">
      <c r="A26" s="8"/>
      <c r="B26" s="9" t="s">
        <v>33</v>
      </c>
      <c r="C26" s="9" t="s">
        <v>96</v>
      </c>
      <c r="D26" s="10" t="s">
        <v>104</v>
      </c>
      <c r="E26" s="10" t="s">
        <v>105</v>
      </c>
      <c r="F26" s="9" t="s">
        <v>37</v>
      </c>
      <c r="G26" s="10" t="s">
        <v>38</v>
      </c>
      <c r="H26" s="10" t="s">
        <v>39</v>
      </c>
      <c r="I26" s="9" t="s">
        <v>106</v>
      </c>
      <c r="J26" s="9" t="n">
        <v>1</v>
      </c>
      <c r="K26" s="8"/>
      <c r="L26" s="11"/>
      <c r="M26" s="9"/>
      <c r="N26" s="9" t="n">
        <v>45.068143</v>
      </c>
      <c r="O26" s="9" t="n">
        <v>-64.459422</v>
      </c>
      <c r="P26" s="12" t="str">
        <f aca="false">HYPERLINK("https://www.google.com/maps/search/?api=1&amp;query=BARIIS%20HALAL%20%26%20PIZZA%20HOUSE%2C%209005%20Commercial%20St%2C%20New%20Minas%2C%20NS%20B4N%203E2","Map")</f>
        <v>Map</v>
      </c>
    </row>
    <row r="27" customFormat="false" ht="35.05" hidden="false" customHeight="false" outlineLevel="0" collapsed="false">
      <c r="A27" s="8"/>
      <c r="B27" s="9" t="s">
        <v>33</v>
      </c>
      <c r="C27" s="9" t="s">
        <v>96</v>
      </c>
      <c r="D27" s="10" t="s">
        <v>107</v>
      </c>
      <c r="E27" s="10" t="s">
        <v>108</v>
      </c>
      <c r="F27" s="9" t="s">
        <v>37</v>
      </c>
      <c r="G27" s="10" t="s">
        <v>38</v>
      </c>
      <c r="H27" s="10" t="s">
        <v>39</v>
      </c>
      <c r="I27" s="9" t="s">
        <v>109</v>
      </c>
      <c r="J27" s="9" t="n">
        <v>1</v>
      </c>
      <c r="K27" s="8"/>
      <c r="L27" s="11"/>
      <c r="M27" s="9"/>
      <c r="N27" s="9" t="n">
        <v>45.067639</v>
      </c>
      <c r="O27" s="9" t="n">
        <v>-64.464022</v>
      </c>
      <c r="P27" s="12" t="str">
        <f aca="false">HYPERLINK("https://www.google.com/maps/search/?api=1&amp;query=Chrismaria%20Family%20Restaurant%20%28%20Indian%20Restaurant%29%2C%208934%20Commercial%20St%2C%20New%20Minas%2C%20NS%20B4N%203C9","Map")</f>
        <v>Map</v>
      </c>
    </row>
    <row r="28" customFormat="false" ht="35.05" hidden="false" customHeight="false" outlineLevel="0" collapsed="false">
      <c r="A28" s="8"/>
      <c r="B28" s="9" t="s">
        <v>33</v>
      </c>
      <c r="C28" s="9" t="s">
        <v>110</v>
      </c>
      <c r="D28" s="10" t="s">
        <v>111</v>
      </c>
      <c r="E28" s="10" t="s">
        <v>112</v>
      </c>
      <c r="F28" s="9" t="s">
        <v>37</v>
      </c>
      <c r="G28" s="10" t="s">
        <v>38</v>
      </c>
      <c r="H28" s="10" t="s">
        <v>39</v>
      </c>
      <c r="I28" s="9" t="s">
        <v>113</v>
      </c>
      <c r="J28" s="9" t="n">
        <v>1</v>
      </c>
      <c r="K28" s="8"/>
      <c r="L28" s="11"/>
      <c r="M28" s="9" t="s">
        <v>54</v>
      </c>
      <c r="N28" s="9" t="n">
        <v>45.092309</v>
      </c>
      <c r="O28" s="9" t="n">
        <v>-64.364107</v>
      </c>
      <c r="P28" s="12" t="str">
        <f aca="false">HYPERLINK("https://www.google.com/maps/search/?api=1&amp;query=Charts%20Caf%C3%A9%2C%2016%20Elm%20Ave%2C%20Wolfville%2C%20NS%20B4P%202S2","Map")</f>
        <v>Map</v>
      </c>
    </row>
    <row r="29" customFormat="false" ht="35.05" hidden="false" customHeight="false" outlineLevel="0" collapsed="false">
      <c r="A29" s="8"/>
      <c r="B29" s="9" t="s">
        <v>33</v>
      </c>
      <c r="C29" s="9" t="s">
        <v>110</v>
      </c>
      <c r="D29" s="10" t="s">
        <v>114</v>
      </c>
      <c r="E29" s="10" t="s">
        <v>115</v>
      </c>
      <c r="F29" s="9" t="s">
        <v>37</v>
      </c>
      <c r="G29" s="10" t="s">
        <v>38</v>
      </c>
      <c r="H29" s="10" t="s">
        <v>39</v>
      </c>
      <c r="I29" s="9" t="s">
        <v>90</v>
      </c>
      <c r="J29" s="9" t="n">
        <v>1</v>
      </c>
      <c r="K29" s="8"/>
      <c r="L29" s="11"/>
      <c r="M29" s="9" t="s">
        <v>54</v>
      </c>
      <c r="N29" s="9" t="n">
        <v>45.091623</v>
      </c>
      <c r="O29" s="9" t="n">
        <v>-64.362714</v>
      </c>
      <c r="P29" s="12" t="str">
        <f aca="false">HYPERLINK("https://www.google.com/maps/search/?api=1&amp;query=Just%20Us%21%20Wolfville%20Caf%C3%A9%2C%20450%20Main%20St%2C%20Wolfville%2C%20NS%20B4P%202A1","Map")</f>
        <v>Map</v>
      </c>
    </row>
    <row r="30" customFormat="false" ht="35.05" hidden="false" customHeight="false" outlineLevel="0" collapsed="false">
      <c r="A30" s="8"/>
      <c r="B30" s="9" t="s">
        <v>33</v>
      </c>
      <c r="C30" s="9" t="s">
        <v>110</v>
      </c>
      <c r="D30" s="10" t="s">
        <v>116</v>
      </c>
      <c r="E30" s="10" t="s">
        <v>117</v>
      </c>
      <c r="F30" s="9" t="s">
        <v>37</v>
      </c>
      <c r="G30" s="10" t="s">
        <v>38</v>
      </c>
      <c r="H30" s="10" t="s">
        <v>39</v>
      </c>
      <c r="I30" s="9" t="s">
        <v>118</v>
      </c>
      <c r="J30" s="9" t="n">
        <v>1</v>
      </c>
      <c r="K30" s="8"/>
      <c r="L30" s="11"/>
      <c r="M30" s="9" t="s">
        <v>54</v>
      </c>
      <c r="N30" s="9" t="n">
        <v>45.091821</v>
      </c>
      <c r="O30" s="9" t="n">
        <v>-64.359921</v>
      </c>
      <c r="P30" s="12" t="str">
        <f aca="false">HYPERLINK("https://www.google.com/maps/search/?api=1&amp;query=T.A.N.%20Coffee%20-%20Wolfville%2C%20378%20Main%20St%2C%20Wolfville%2C%20NS%20B4P%202B8","Map")</f>
        <v>Map</v>
      </c>
    </row>
    <row r="31" customFormat="false" ht="35.05" hidden="false" customHeight="false" outlineLevel="0" collapsed="false">
      <c r="A31" s="8"/>
      <c r="B31" s="9" t="s">
        <v>33</v>
      </c>
      <c r="C31" s="9" t="s">
        <v>110</v>
      </c>
      <c r="D31" s="10" t="s">
        <v>119</v>
      </c>
      <c r="E31" s="10" t="s">
        <v>120</v>
      </c>
      <c r="F31" s="9" t="s">
        <v>37</v>
      </c>
      <c r="G31" s="10" t="s">
        <v>38</v>
      </c>
      <c r="H31" s="10" t="s">
        <v>39</v>
      </c>
      <c r="I31" s="9" t="s">
        <v>121</v>
      </c>
      <c r="J31" s="9" t="n">
        <v>1</v>
      </c>
      <c r="K31" s="8"/>
      <c r="L31" s="11"/>
      <c r="M31" s="9"/>
      <c r="N31" s="9" t="n">
        <v>45.091654</v>
      </c>
      <c r="O31" s="9" t="n">
        <v>-64.36316</v>
      </c>
      <c r="P31" s="12" t="str">
        <f aca="false">HYPERLINK("https://www.google.com/maps/search/?api=1&amp;query=Paddy%27s%20Brewpub%20%26%20Rosie%27s%20Restaurant%2C%20460%20Main%20St%2C%20Wolfville%2C%20NS%20B4P%202A1","Map")</f>
        <v>Map</v>
      </c>
    </row>
    <row r="32" customFormat="false" ht="35.05" hidden="false" customHeight="false" outlineLevel="0" collapsed="false">
      <c r="A32" s="8"/>
      <c r="B32" s="9" t="s">
        <v>33</v>
      </c>
      <c r="C32" s="9" t="s">
        <v>110</v>
      </c>
      <c r="D32" s="10" t="s">
        <v>122</v>
      </c>
      <c r="E32" s="10" t="s">
        <v>123</v>
      </c>
      <c r="F32" s="9" t="s">
        <v>37</v>
      </c>
      <c r="G32" s="10" t="s">
        <v>38</v>
      </c>
      <c r="H32" s="10" t="s">
        <v>39</v>
      </c>
      <c r="I32" s="9" t="s">
        <v>124</v>
      </c>
      <c r="J32" s="9" t="n">
        <v>1</v>
      </c>
      <c r="K32" s="8"/>
      <c r="L32" s="11"/>
      <c r="M32" s="9"/>
      <c r="N32" s="9" t="n">
        <v>45.092088</v>
      </c>
      <c r="O32" s="9" t="n">
        <v>-64.36416</v>
      </c>
      <c r="P32" s="12" t="str">
        <f aca="false">HYPERLINK("https://www.google.com/maps/search/?api=1&amp;query=Troy%20Restaurant%20%26%20Grill%2C%2012D%20Elm%20Ave%2C%20Wolfville%2C%20NS%20B4P%201Z9","Map")</f>
        <v>Map</v>
      </c>
    </row>
    <row r="33" customFormat="false" ht="35.05" hidden="false" customHeight="false" outlineLevel="0" collapsed="false">
      <c r="A33" s="8"/>
      <c r="B33" s="9" t="s">
        <v>33</v>
      </c>
      <c r="C33" s="9" t="s">
        <v>110</v>
      </c>
      <c r="D33" s="10" t="s">
        <v>125</v>
      </c>
      <c r="E33" s="10" t="s">
        <v>126</v>
      </c>
      <c r="F33" s="9" t="s">
        <v>37</v>
      </c>
      <c r="G33" s="10" t="s">
        <v>38</v>
      </c>
      <c r="H33" s="10" t="s">
        <v>39</v>
      </c>
      <c r="I33" s="9" t="s">
        <v>127</v>
      </c>
      <c r="J33" s="9" t="n">
        <v>1</v>
      </c>
      <c r="K33" s="8"/>
      <c r="L33" s="11"/>
      <c r="M33" s="9"/>
      <c r="N33" s="9" t="n">
        <v>45.09162</v>
      </c>
      <c r="O33" s="9" t="n">
        <v>-64.358039</v>
      </c>
      <c r="P33" s="12" t="str">
        <f aca="false">HYPERLINK("https://www.google.com/maps/search/?api=1&amp;query=The%20Church%20Brewing%20Co%2C%20329%20Main%20St%2C%20Wolfville%2C%20NS%20B4P%201C4","Map")</f>
        <v>Map</v>
      </c>
    </row>
    <row r="34" customFormat="false" ht="35.05" hidden="false" customHeight="false" outlineLevel="0" collapsed="false">
      <c r="A34" s="8"/>
      <c r="B34" s="9" t="s">
        <v>33</v>
      </c>
      <c r="C34" s="9" t="s">
        <v>110</v>
      </c>
      <c r="D34" s="10" t="s">
        <v>128</v>
      </c>
      <c r="E34" s="10" t="s">
        <v>129</v>
      </c>
      <c r="F34" s="9" t="s">
        <v>37</v>
      </c>
      <c r="G34" s="10" t="s">
        <v>38</v>
      </c>
      <c r="H34" s="10" t="s">
        <v>39</v>
      </c>
      <c r="I34" s="9" t="s">
        <v>130</v>
      </c>
      <c r="J34" s="9" t="n">
        <v>1</v>
      </c>
      <c r="K34" s="8"/>
      <c r="L34" s="11"/>
      <c r="M34" s="9"/>
      <c r="N34" s="9" t="n">
        <v>45.091602</v>
      </c>
      <c r="O34" s="9" t="n">
        <v>-64.36218</v>
      </c>
      <c r="P34" s="12" t="str">
        <f aca="false">HYPERLINK("https://www.google.com/maps/search/?api=1&amp;query=Joe%27s%20Food%20Emporium%2C%20434%20Main%20St%2C%20Wolfville%2C%20NS%20B4P%202A1","Map")</f>
        <v>Map</v>
      </c>
    </row>
    <row r="35" customFormat="false" ht="35.05" hidden="false" customHeight="false" outlineLevel="0" collapsed="false">
      <c r="A35" s="8"/>
      <c r="B35" s="9" t="s">
        <v>33</v>
      </c>
      <c r="C35" s="9" t="s">
        <v>110</v>
      </c>
      <c r="D35" s="10" t="s">
        <v>131</v>
      </c>
      <c r="E35" s="10" t="s">
        <v>132</v>
      </c>
      <c r="F35" s="9" t="s">
        <v>37</v>
      </c>
      <c r="G35" s="10" t="s">
        <v>38</v>
      </c>
      <c r="H35" s="10" t="s">
        <v>39</v>
      </c>
      <c r="I35" s="9" t="s">
        <v>133</v>
      </c>
      <c r="J35" s="9" t="n">
        <v>1</v>
      </c>
      <c r="K35" s="8"/>
      <c r="L35" s="11"/>
      <c r="M35" s="9"/>
      <c r="N35" s="9" t="n">
        <v>45.091439</v>
      </c>
      <c r="O35" s="9" t="n">
        <v>-64.363521</v>
      </c>
      <c r="P35" s="12" t="str">
        <f aca="false">HYPERLINK("https://www.google.com/maps/search/?api=1&amp;query=The%20Library%20Pub%2C%20472%20Main%20St%2C%20Wolfville%2C%20NS%20B4P%201E2","Map")</f>
        <v>Map</v>
      </c>
    </row>
    <row r="36" customFormat="false" ht="35.05" hidden="false" customHeight="false" outlineLevel="0" collapsed="false">
      <c r="A36" s="8"/>
      <c r="B36" s="9" t="s">
        <v>33</v>
      </c>
      <c r="C36" s="9" t="s">
        <v>110</v>
      </c>
      <c r="D36" s="10" t="s">
        <v>134</v>
      </c>
      <c r="E36" s="10" t="s">
        <v>135</v>
      </c>
      <c r="F36" s="9" t="s">
        <v>37</v>
      </c>
      <c r="G36" s="10" t="s">
        <v>38</v>
      </c>
      <c r="H36" s="10" t="s">
        <v>39</v>
      </c>
      <c r="I36" s="9" t="s">
        <v>136</v>
      </c>
      <c r="J36" s="9" t="n">
        <v>1</v>
      </c>
      <c r="K36" s="8"/>
      <c r="L36" s="11" t="s">
        <v>137</v>
      </c>
      <c r="M36" s="9"/>
      <c r="N36" s="9" t="n">
        <v>45.085928</v>
      </c>
      <c r="O36" s="9" t="n">
        <v>-64.380436</v>
      </c>
      <c r="P36" s="12" t="str">
        <f aca="false">HYPERLINK("https://www.google.com/maps/search/?api=1&amp;query=Elderkin%27s%20Farm%20Market%2C%20Bakery%2C%20%26%20U-Pick%2C%2010362%20Nova%20Scotia%20Trunk%201%2C%20Wolfville%2C%20NS%20B4P%202R2","Map")</f>
        <v>Map</v>
      </c>
    </row>
    <row r="37" customFormat="false" ht="23.85" hidden="false" customHeight="false" outlineLevel="0" collapsed="false">
      <c r="A37" s="8"/>
      <c r="B37" s="9" t="s">
        <v>33</v>
      </c>
      <c r="C37" s="9" t="s">
        <v>34</v>
      </c>
      <c r="D37" s="10" t="s">
        <v>138</v>
      </c>
      <c r="E37" s="10" t="s">
        <v>139</v>
      </c>
      <c r="F37" s="9" t="s">
        <v>140</v>
      </c>
      <c r="G37" s="10" t="s">
        <v>141</v>
      </c>
      <c r="H37" s="10" t="s">
        <v>142</v>
      </c>
      <c r="I37" s="9" t="s">
        <v>143</v>
      </c>
      <c r="J37" s="9" t="n">
        <v>2</v>
      </c>
      <c r="K37" s="8"/>
      <c r="L37" s="11"/>
      <c r="M37" s="9"/>
      <c r="N37" s="9" t="n">
        <v>45.066878</v>
      </c>
      <c r="O37" s="9" t="n">
        <v>-64.581171</v>
      </c>
      <c r="P37" s="12" t="str">
        <f aca="false">HYPERLINK("https://www.google.com/maps/search/?api=1&amp;query=Stoddart%27s%20Automotive%20Service%20Ltd.%2C%206961%20Nova%20Scotia%20Trunk%201%2C%20Coldbrook%2C%20NS%20B4R%201C5","Map")</f>
        <v>Map</v>
      </c>
    </row>
    <row r="38" customFormat="false" ht="23.85" hidden="false" customHeight="false" outlineLevel="0" collapsed="false">
      <c r="A38" s="8"/>
      <c r="B38" s="9" t="s">
        <v>33</v>
      </c>
      <c r="C38" s="9" t="s">
        <v>144</v>
      </c>
      <c r="D38" s="10" t="s">
        <v>145</v>
      </c>
      <c r="E38" s="10" t="s">
        <v>146</v>
      </c>
      <c r="F38" s="9" t="s">
        <v>147</v>
      </c>
      <c r="G38" s="10" t="s">
        <v>38</v>
      </c>
      <c r="H38" s="10" t="s">
        <v>148</v>
      </c>
      <c r="I38" s="9" t="s">
        <v>149</v>
      </c>
      <c r="J38" s="9" t="n">
        <v>2</v>
      </c>
      <c r="K38" s="8"/>
      <c r="L38" s="11" t="s">
        <v>150</v>
      </c>
      <c r="M38" s="9"/>
      <c r="N38" s="9" t="n">
        <v>45.10162</v>
      </c>
      <c r="O38" s="9" t="n">
        <v>-64.307863</v>
      </c>
      <c r="P38" s="12" t="str">
        <f aca="false">HYPERLINK("https://www.google.com/maps/search/?api=1&amp;query=Domaine%20de%20Grand%20Pr%C3%A9%2C%2011611%20Evangeline%20Trl%2C%20Grand%20Pr%C3%A9%2C%20NS%20B0P%201M0","Map")</f>
        <v>Map</v>
      </c>
    </row>
    <row r="39" customFormat="false" ht="23.85" hidden="false" customHeight="false" outlineLevel="0" collapsed="false">
      <c r="A39" s="8"/>
      <c r="B39" s="9" t="s">
        <v>33</v>
      </c>
      <c r="C39" s="9" t="s">
        <v>144</v>
      </c>
      <c r="D39" s="10" t="s">
        <v>151</v>
      </c>
      <c r="E39" s="10" t="s">
        <v>152</v>
      </c>
      <c r="F39" s="9" t="s">
        <v>147</v>
      </c>
      <c r="G39" s="10" t="s">
        <v>38</v>
      </c>
      <c r="H39" s="10" t="s">
        <v>148</v>
      </c>
      <c r="I39" s="9"/>
      <c r="J39" s="9" t="n">
        <v>2</v>
      </c>
      <c r="K39" s="8"/>
      <c r="L39" s="11" t="s">
        <v>153</v>
      </c>
      <c r="M39" s="9"/>
      <c r="N39" s="9" t="n">
        <v>45.0721</v>
      </c>
      <c r="O39" s="9" t="n">
        <v>-64.295753</v>
      </c>
      <c r="P39" s="12" t="str">
        <f aca="false">HYPERLINK("https://www.google.com/maps/search/?api=1&amp;query=Luckett%20Vineyards%2C%201293%20Grand%20Pr%C3%A9%20Rd%2C%20Wallbrook%2C%20NS%20B4P%202R3","Map")</f>
        <v>Map</v>
      </c>
    </row>
    <row r="40" customFormat="false" ht="23.85" hidden="false" customHeight="false" outlineLevel="0" collapsed="false">
      <c r="A40" s="8"/>
      <c r="B40" s="9" t="s">
        <v>33</v>
      </c>
      <c r="C40" s="9" t="s">
        <v>46</v>
      </c>
      <c r="D40" s="10" t="s">
        <v>154</v>
      </c>
      <c r="E40" s="10" t="s">
        <v>155</v>
      </c>
      <c r="F40" s="9" t="s">
        <v>140</v>
      </c>
      <c r="G40" s="10" t="s">
        <v>141</v>
      </c>
      <c r="H40" s="10" t="s">
        <v>142</v>
      </c>
      <c r="I40" s="9" t="s">
        <v>143</v>
      </c>
      <c r="J40" s="9" t="n">
        <v>2</v>
      </c>
      <c r="K40" s="8"/>
      <c r="L40" s="11"/>
      <c r="M40" s="9"/>
      <c r="N40" s="9" t="n">
        <v>45.060908</v>
      </c>
      <c r="O40" s="9" t="n">
        <v>-64.547435</v>
      </c>
      <c r="P40" s="12" t="str">
        <f aca="false">HYPERLINK("https://www.google.com/maps/search/?api=1&amp;query=Troy%20Bennett%27s%20Auto%20Repair%20%26%20Service%2C%2028%20lyons%20drive%2C%20Kentville%2C%20NS%20B4N%203V7","Map")</f>
        <v>Map</v>
      </c>
    </row>
    <row r="41" customFormat="false" ht="23.85" hidden="false" customHeight="false" outlineLevel="0" collapsed="false">
      <c r="A41" s="8"/>
      <c r="B41" s="9" t="s">
        <v>33</v>
      </c>
      <c r="C41" s="9" t="s">
        <v>46</v>
      </c>
      <c r="D41" s="10" t="s">
        <v>156</v>
      </c>
      <c r="E41" s="10" t="s">
        <v>157</v>
      </c>
      <c r="F41" s="9" t="s">
        <v>140</v>
      </c>
      <c r="G41" s="10" t="s">
        <v>141</v>
      </c>
      <c r="H41" s="10" t="s">
        <v>142</v>
      </c>
      <c r="I41" s="9" t="s">
        <v>143</v>
      </c>
      <c r="J41" s="9" t="n">
        <v>2</v>
      </c>
      <c r="K41" s="8"/>
      <c r="L41" s="11"/>
      <c r="M41" s="9"/>
      <c r="N41" s="9" t="n">
        <v>45.048942</v>
      </c>
      <c r="O41" s="9" t="n">
        <v>-64.480644</v>
      </c>
      <c r="P41" s="12" t="str">
        <f aca="false">HYPERLINK("https://www.google.com/maps/search/?api=1&amp;query=Greg%20Dodge%27s%20Auto%20Repair%2C%2081%20New%20Canaan%20Rd%2C%20Kentville%2C%20NS%20B4N%204K1","Map")</f>
        <v>Map</v>
      </c>
    </row>
    <row r="42" customFormat="false" ht="23.85" hidden="false" customHeight="false" outlineLevel="0" collapsed="false">
      <c r="A42" s="8"/>
      <c r="B42" s="9" t="s">
        <v>33</v>
      </c>
      <c r="C42" s="9" t="s">
        <v>46</v>
      </c>
      <c r="D42" s="10" t="s">
        <v>158</v>
      </c>
      <c r="E42" s="10" t="s">
        <v>159</v>
      </c>
      <c r="F42" s="9" t="s">
        <v>160</v>
      </c>
      <c r="G42" s="10" t="s">
        <v>141</v>
      </c>
      <c r="H42" s="10" t="s">
        <v>161</v>
      </c>
      <c r="I42" s="9" t="s">
        <v>143</v>
      </c>
      <c r="J42" s="9" t="n">
        <v>2</v>
      </c>
      <c r="K42" s="8"/>
      <c r="L42" s="11"/>
      <c r="M42" s="9"/>
      <c r="N42" s="9" t="n">
        <v>45.078339</v>
      </c>
      <c r="O42" s="9" t="n">
        <v>-64.497363</v>
      </c>
      <c r="P42" s="12" t="str">
        <f aca="false">HYPERLINK("https://www.google.com/maps/search/?api=1&amp;query=Kentville%20Barber%20Shop%2C%20106%20Webster%20St%2C%20Kentville%2C%20NS%20B4N%201H9","Map")</f>
        <v>Map</v>
      </c>
    </row>
    <row r="43" customFormat="false" ht="23.85" hidden="false" customHeight="false" outlineLevel="0" collapsed="false">
      <c r="A43" s="8"/>
      <c r="B43" s="9" t="s">
        <v>33</v>
      </c>
      <c r="C43" s="9" t="s">
        <v>46</v>
      </c>
      <c r="D43" s="10" t="s">
        <v>162</v>
      </c>
      <c r="E43" s="10" t="s">
        <v>163</v>
      </c>
      <c r="F43" s="9" t="s">
        <v>160</v>
      </c>
      <c r="G43" s="10" t="s">
        <v>141</v>
      </c>
      <c r="H43" s="10" t="s">
        <v>161</v>
      </c>
      <c r="I43" s="9" t="s">
        <v>164</v>
      </c>
      <c r="J43" s="9" t="n">
        <v>2</v>
      </c>
      <c r="K43" s="8"/>
      <c r="L43" s="11"/>
      <c r="M43" s="9"/>
      <c r="N43" s="9" t="n">
        <v>45.07983</v>
      </c>
      <c r="O43" s="9" t="n">
        <v>-64.495632</v>
      </c>
      <c r="P43" s="12" t="str">
        <f aca="false">HYPERLINK("https://www.google.com/maps/search/?api=1&amp;query=Victor%20cuts%20barber%20shop%2C%2017%20River%20St%20%2321%2C%20Kentville%2C%20NS%20B4N%205E3","Map")</f>
        <v>Map</v>
      </c>
    </row>
    <row r="44" customFormat="false" ht="23.85" hidden="false" customHeight="false" outlineLevel="0" collapsed="false">
      <c r="A44" s="8"/>
      <c r="B44" s="9" t="s">
        <v>33</v>
      </c>
      <c r="C44" s="9" t="s">
        <v>46</v>
      </c>
      <c r="D44" s="10" t="s">
        <v>165</v>
      </c>
      <c r="E44" s="10" t="s">
        <v>166</v>
      </c>
      <c r="F44" s="9" t="s">
        <v>167</v>
      </c>
      <c r="G44" s="10" t="s">
        <v>168</v>
      </c>
      <c r="H44" s="10" t="s">
        <v>169</v>
      </c>
      <c r="I44" s="9" t="s">
        <v>52</v>
      </c>
      <c r="J44" s="9" t="n">
        <v>2</v>
      </c>
      <c r="K44" s="8"/>
      <c r="L44" s="11"/>
      <c r="M44" s="9"/>
      <c r="N44" s="9" t="n">
        <v>45.063424</v>
      </c>
      <c r="O44" s="9" t="n">
        <v>-64.547021</v>
      </c>
      <c r="P44" s="12" t="str">
        <f aca="false">HYPERLINK("https://www.google.com/maps/search/?api=1&amp;query=White%20Rock%20Mechanical%2C%2051%20Chipman%20Dr%20%231%2C%20Kentville%2C%20NS%20B4N%203V7","Map")</f>
        <v>Map</v>
      </c>
    </row>
    <row r="45" customFormat="false" ht="23.85" hidden="false" customHeight="false" outlineLevel="0" collapsed="false">
      <c r="A45" s="8"/>
      <c r="B45" s="9" t="s">
        <v>33</v>
      </c>
      <c r="C45" s="9" t="s">
        <v>46</v>
      </c>
      <c r="D45" s="10" t="s">
        <v>170</v>
      </c>
      <c r="E45" s="10" t="s">
        <v>171</v>
      </c>
      <c r="F45" s="9" t="s">
        <v>167</v>
      </c>
      <c r="G45" s="10" t="s">
        <v>168</v>
      </c>
      <c r="H45" s="10" t="s">
        <v>169</v>
      </c>
      <c r="I45" s="9" t="s">
        <v>52</v>
      </c>
      <c r="J45" s="9" t="n">
        <v>2</v>
      </c>
      <c r="K45" s="8"/>
      <c r="L45" s="11"/>
      <c r="M45" s="9"/>
      <c r="N45" s="9" t="n">
        <v>45.062307</v>
      </c>
      <c r="O45" s="9" t="n">
        <v>-64.547643</v>
      </c>
      <c r="P45" s="12" t="str">
        <f aca="false">HYPERLINK("https://www.google.com/maps/search/?api=1&amp;query=White%20Rock%20Electrical%20Services%20Ltd%2C%2087%20Chipman%20Dr%20%231%2C%20Kentville%2C%20NS%20B4N%203V7","Map")</f>
        <v>Map</v>
      </c>
    </row>
    <row r="46" customFormat="false" ht="23.85" hidden="false" customHeight="false" outlineLevel="0" collapsed="false">
      <c r="A46" s="8"/>
      <c r="B46" s="9" t="s">
        <v>33</v>
      </c>
      <c r="C46" s="9" t="s">
        <v>46</v>
      </c>
      <c r="D46" s="10" t="s">
        <v>172</v>
      </c>
      <c r="E46" s="10" t="s">
        <v>173</v>
      </c>
      <c r="F46" s="9" t="s">
        <v>167</v>
      </c>
      <c r="G46" s="10" t="s">
        <v>168</v>
      </c>
      <c r="H46" s="10" t="s">
        <v>169</v>
      </c>
      <c r="I46" s="9" t="s">
        <v>174</v>
      </c>
      <c r="J46" s="9" t="n">
        <v>2</v>
      </c>
      <c r="K46" s="8"/>
      <c r="L46" s="11"/>
      <c r="M46" s="9"/>
      <c r="N46" s="9" t="n">
        <v>45.07037</v>
      </c>
      <c r="O46" s="9" t="n">
        <v>-64.551432</v>
      </c>
      <c r="P46" s="12" t="str">
        <f aca="false">HYPERLINK("https://www.google.com/maps/search/?api=1&amp;query=Ron%20Martin%27s%20Plumbing%20and%20Heating%202022%20Ltd%2C%20913%20Park%20St%2C%20Kentville%2C%20NS%20B4N%205H3","Map")</f>
        <v>Map</v>
      </c>
    </row>
    <row r="47" customFormat="false" ht="23.85" hidden="false" customHeight="false" outlineLevel="0" collapsed="false">
      <c r="A47" s="8"/>
      <c r="B47" s="9" t="s">
        <v>33</v>
      </c>
      <c r="C47" s="9" t="s">
        <v>46</v>
      </c>
      <c r="D47" s="10" t="s">
        <v>175</v>
      </c>
      <c r="E47" s="10" t="s">
        <v>176</v>
      </c>
      <c r="F47" s="9" t="s">
        <v>177</v>
      </c>
      <c r="G47" s="10" t="s">
        <v>178</v>
      </c>
      <c r="H47" s="10" t="s">
        <v>179</v>
      </c>
      <c r="I47" s="9" t="s">
        <v>180</v>
      </c>
      <c r="J47" s="9" t="n">
        <v>2</v>
      </c>
      <c r="K47" s="8"/>
      <c r="L47" s="11"/>
      <c r="M47" s="9" t="s">
        <v>54</v>
      </c>
      <c r="N47" s="9" t="n">
        <v>45.069601</v>
      </c>
      <c r="O47" s="9" t="n">
        <v>-64.546673</v>
      </c>
      <c r="P47" s="12" t="str">
        <f aca="false">HYPERLINK("https://www.google.com/maps/search/?api=1&amp;query=Fraser%E2%80%99s%20Pro%20Home%20Centre%2C%2014%20Pelton%20Dr%2C%20Kentville%2C%20NS%20B4N%203V7","Map")</f>
        <v>Map</v>
      </c>
    </row>
    <row r="48" customFormat="false" ht="23.85" hidden="false" customHeight="false" outlineLevel="0" collapsed="false">
      <c r="A48" s="8"/>
      <c r="B48" s="9" t="s">
        <v>33</v>
      </c>
      <c r="C48" s="9" t="s">
        <v>46</v>
      </c>
      <c r="D48" s="10" t="s">
        <v>181</v>
      </c>
      <c r="E48" s="10" t="s">
        <v>182</v>
      </c>
      <c r="F48" s="9" t="s">
        <v>177</v>
      </c>
      <c r="G48" s="10" t="s">
        <v>178</v>
      </c>
      <c r="H48" s="10" t="s">
        <v>179</v>
      </c>
      <c r="I48" s="9" t="s">
        <v>136</v>
      </c>
      <c r="J48" s="9" t="n">
        <v>2</v>
      </c>
      <c r="K48" s="8"/>
      <c r="L48" s="11"/>
      <c r="M48" s="9" t="s">
        <v>54</v>
      </c>
      <c r="N48" s="9" t="n">
        <v>45.076639</v>
      </c>
      <c r="O48" s="9" t="n">
        <v>-64.496746</v>
      </c>
      <c r="P48" s="12" t="str">
        <f aca="false">HYPERLINK("https://www.google.com/maps/search/?api=1&amp;query=Rockwell%20Home%20Hardware%2C%20414%20Main%20St%2C%20Kentville%2C%20NS%20B4N%203W4","Map")</f>
        <v>Map</v>
      </c>
    </row>
    <row r="49" customFormat="false" ht="23.85" hidden="false" customHeight="false" outlineLevel="0" collapsed="false">
      <c r="A49" s="8"/>
      <c r="B49" s="9" t="s">
        <v>33</v>
      </c>
      <c r="C49" s="9" t="s">
        <v>96</v>
      </c>
      <c r="D49" s="10" t="s">
        <v>183</v>
      </c>
      <c r="E49" s="10" t="s">
        <v>184</v>
      </c>
      <c r="F49" s="9" t="s">
        <v>160</v>
      </c>
      <c r="G49" s="10" t="s">
        <v>141</v>
      </c>
      <c r="H49" s="10" t="s">
        <v>161</v>
      </c>
      <c r="I49" s="9" t="s">
        <v>149</v>
      </c>
      <c r="J49" s="9" t="n">
        <v>2</v>
      </c>
      <c r="K49" s="8"/>
      <c r="L49" s="11"/>
      <c r="M49" s="9"/>
      <c r="N49" s="9" t="n">
        <v>45.069164</v>
      </c>
      <c r="O49" s="9" t="n">
        <v>-64.466352</v>
      </c>
      <c r="P49" s="12" t="str">
        <f aca="false">HYPERLINK("https://www.google.com/maps/search/?api=1&amp;query=The%20Valley%20Barber%2C%2011A%20Crescent%20Dr%2C%20New%20Minas%2C%20NS%20B4N%203G7","Map")</f>
        <v>Map</v>
      </c>
    </row>
    <row r="50" customFormat="false" ht="23.85" hidden="false" customHeight="false" outlineLevel="0" collapsed="false">
      <c r="A50" s="8"/>
      <c r="B50" s="9" t="s">
        <v>33</v>
      </c>
      <c r="C50" s="9" t="s">
        <v>96</v>
      </c>
      <c r="D50" s="10" t="s">
        <v>185</v>
      </c>
      <c r="E50" s="10" t="s">
        <v>186</v>
      </c>
      <c r="F50" s="9" t="s">
        <v>160</v>
      </c>
      <c r="G50" s="10" t="s">
        <v>141</v>
      </c>
      <c r="H50" s="10" t="s">
        <v>161</v>
      </c>
      <c r="I50" s="9" t="s">
        <v>149</v>
      </c>
      <c r="J50" s="9" t="n">
        <v>2</v>
      </c>
      <c r="K50" s="8"/>
      <c r="L50" s="11"/>
      <c r="M50" s="9"/>
      <c r="N50" s="9" t="n">
        <v>45.068452</v>
      </c>
      <c r="O50" s="9" t="n">
        <v>-64.463364</v>
      </c>
      <c r="P50" s="12" t="str">
        <f aca="false">HYPERLINK("https://www.google.com/maps/search/?api=1&amp;query=Old%20Money%20Hair%20%26%20Co%2C%208943%20Commercial%20St%2C%20New%20Minas%2C%20NS%20B4N%203E1","Map")</f>
        <v>Map</v>
      </c>
    </row>
    <row r="51" customFormat="false" ht="23.85" hidden="false" customHeight="false" outlineLevel="0" collapsed="false">
      <c r="A51" s="8"/>
      <c r="B51" s="9" t="s">
        <v>33</v>
      </c>
      <c r="C51" s="9" t="s">
        <v>96</v>
      </c>
      <c r="D51" s="10" t="s">
        <v>187</v>
      </c>
      <c r="E51" s="10" t="s">
        <v>188</v>
      </c>
      <c r="F51" s="9" t="s">
        <v>177</v>
      </c>
      <c r="G51" s="10" t="s">
        <v>178</v>
      </c>
      <c r="H51" s="10" t="s">
        <v>179</v>
      </c>
      <c r="I51" s="9" t="s">
        <v>40</v>
      </c>
      <c r="J51" s="9" t="n">
        <v>2</v>
      </c>
      <c r="K51" s="8"/>
      <c r="L51" s="11" t="s">
        <v>189</v>
      </c>
      <c r="M51" s="9" t="s">
        <v>54</v>
      </c>
      <c r="N51" s="9" t="n">
        <v>45.056995</v>
      </c>
      <c r="O51" s="9" t="n">
        <v>-64.473957</v>
      </c>
      <c r="P51" s="12" t="str">
        <f aca="false">HYPERLINK("https://www.google.com/maps/search/?api=1&amp;query=Kent%20Building%20Supplies%2C%205447%20Prospect%20Rd%2C%20New%20Minas%2C%20NS%20B4N%203L1","Map")</f>
        <v>Map</v>
      </c>
    </row>
    <row r="52" customFormat="false" ht="23.85" hidden="false" customHeight="false" outlineLevel="0" collapsed="false">
      <c r="A52" s="8"/>
      <c r="B52" s="9" t="s">
        <v>33</v>
      </c>
      <c r="C52" s="9" t="s">
        <v>110</v>
      </c>
      <c r="D52" s="10" t="s">
        <v>190</v>
      </c>
      <c r="E52" s="10" t="s">
        <v>191</v>
      </c>
      <c r="F52" s="9" t="s">
        <v>177</v>
      </c>
      <c r="G52" s="10" t="s">
        <v>178</v>
      </c>
      <c r="H52" s="10" t="s">
        <v>179</v>
      </c>
      <c r="I52" s="9" t="s">
        <v>180</v>
      </c>
      <c r="J52" s="9" t="n">
        <v>2</v>
      </c>
      <c r="K52" s="8"/>
      <c r="L52" s="11"/>
      <c r="M52" s="9"/>
      <c r="N52" s="9" t="n">
        <v>45.094412</v>
      </c>
      <c r="O52" s="9" t="n">
        <v>-64.364732</v>
      </c>
      <c r="P52" s="12" t="str">
        <f aca="false">HYPERLINK("https://www.google.com/maps/search/?api=1&amp;query=Rafuse%20Home%20Hardware%20Building%20Centre%2C%20180%20Dykeland%20St%2C%20Wolfville%2C%20NS%20B4P%201A2","Map")</f>
        <v>Map</v>
      </c>
    </row>
    <row r="53" customFormat="false" ht="15" hidden="false" customHeight="false" outlineLevel="0" collapsed="false">
      <c r="A53" s="8"/>
      <c r="B53" s="9" t="s">
        <v>33</v>
      </c>
      <c r="C53" s="9" t="s">
        <v>46</v>
      </c>
      <c r="D53" s="10" t="s">
        <v>192</v>
      </c>
      <c r="E53" s="10" t="s">
        <v>193</v>
      </c>
      <c r="F53" s="9" t="s">
        <v>194</v>
      </c>
      <c r="G53" s="10" t="s">
        <v>195</v>
      </c>
      <c r="H53" s="10" t="s">
        <v>196</v>
      </c>
      <c r="I53" s="9" t="s">
        <v>149</v>
      </c>
      <c r="J53" s="9" t="n">
        <v>3</v>
      </c>
      <c r="K53" s="8"/>
      <c r="L53" s="11"/>
      <c r="M53" s="9" t="s">
        <v>54</v>
      </c>
      <c r="N53" s="9" t="n">
        <v>45.076897</v>
      </c>
      <c r="O53" s="9" t="n">
        <v>-64.497523</v>
      </c>
      <c r="P53" s="12" t="str">
        <f aca="false">HYPERLINK("https://www.google.com/maps/search/?api=1&amp;query=Kentville%20Library%2C%20440%20Main%20St%2C%20Kentville%2C%20NS%20B4N%201R5","Map")</f>
        <v>Map</v>
      </c>
    </row>
    <row r="54" customFormat="false" ht="23.85" hidden="false" customHeight="false" outlineLevel="0" collapsed="false">
      <c r="A54" s="8"/>
      <c r="B54" s="9" t="s">
        <v>33</v>
      </c>
      <c r="C54" s="9" t="s">
        <v>46</v>
      </c>
      <c r="D54" s="10" t="s">
        <v>197</v>
      </c>
      <c r="E54" s="10" t="s">
        <v>198</v>
      </c>
      <c r="F54" s="9" t="s">
        <v>199</v>
      </c>
      <c r="G54" s="10" t="s">
        <v>195</v>
      </c>
      <c r="H54" s="10" t="s">
        <v>200</v>
      </c>
      <c r="I54" s="9" t="s">
        <v>201</v>
      </c>
      <c r="J54" s="9" t="n">
        <v>3</v>
      </c>
      <c r="K54" s="8"/>
      <c r="L54" s="11"/>
      <c r="M54" s="9"/>
      <c r="N54" s="9" t="n">
        <v>45.077332</v>
      </c>
      <c r="O54" s="9" t="n">
        <v>-64.496414</v>
      </c>
      <c r="P54" s="12" t="str">
        <f aca="false">HYPERLINK("https://www.google.com/maps/search/?api=1&amp;query=Mister%20Printer%2C%20409%20Main%20St%2C%20Kentville%2C%20NS%20B4N%202E2","Map")</f>
        <v>Map</v>
      </c>
    </row>
    <row r="55" customFormat="false" ht="23.85" hidden="false" customHeight="false" outlineLevel="0" collapsed="false">
      <c r="A55" s="8"/>
      <c r="B55" s="9" t="s">
        <v>33</v>
      </c>
      <c r="C55" s="9" t="s">
        <v>96</v>
      </c>
      <c r="D55" s="10" t="s">
        <v>202</v>
      </c>
      <c r="E55" s="10" t="s">
        <v>203</v>
      </c>
      <c r="F55" s="9" t="s">
        <v>199</v>
      </c>
      <c r="G55" s="10" t="s">
        <v>195</v>
      </c>
      <c r="H55" s="10" t="s">
        <v>200</v>
      </c>
      <c r="I55" s="9" t="s">
        <v>65</v>
      </c>
      <c r="J55" s="9" t="n">
        <v>3</v>
      </c>
      <c r="K55" s="8"/>
      <c r="L55" s="11"/>
      <c r="M55" s="9" t="s">
        <v>54</v>
      </c>
      <c r="N55" s="9" t="n">
        <v>45.066458</v>
      </c>
      <c r="O55" s="9" t="n">
        <v>-64.451504</v>
      </c>
      <c r="P55" s="12" t="str">
        <f aca="false">HYPERLINK("https://www.google.com/maps/search/?api=1&amp;query=Panda%20Print%2C%209146%20Commercial%20St%2C%20New%20Minas%2C%20NS%20B4N%203E6","Map")</f>
        <v>Map</v>
      </c>
    </row>
    <row r="56" customFormat="false" ht="23.85" hidden="false" customHeight="false" outlineLevel="0" collapsed="false">
      <c r="A56" s="8"/>
      <c r="B56" s="9" t="s">
        <v>33</v>
      </c>
      <c r="C56" s="9" t="s">
        <v>96</v>
      </c>
      <c r="D56" s="10" t="s">
        <v>204</v>
      </c>
      <c r="E56" s="10" t="s">
        <v>205</v>
      </c>
      <c r="F56" s="9" t="s">
        <v>199</v>
      </c>
      <c r="G56" s="10" t="s">
        <v>195</v>
      </c>
      <c r="H56" s="10" t="s">
        <v>200</v>
      </c>
      <c r="I56" s="9" t="s">
        <v>143</v>
      </c>
      <c r="J56" s="9" t="n">
        <v>3</v>
      </c>
      <c r="K56" s="8"/>
      <c r="L56" s="11"/>
      <c r="M56" s="9" t="s">
        <v>54</v>
      </c>
      <c r="N56" s="9" t="n">
        <v>45.069</v>
      </c>
      <c r="O56" s="9" t="n">
        <v>-64.464437</v>
      </c>
      <c r="P56" s="12" t="str">
        <f aca="false">HYPERLINK("https://www.google.com/maps/search/?api=1&amp;query=Repracorp%20Design%20and%20Print%20Solutions%2C%208927%20Commercial%20St%2C%20New%20Minas%2C%20NS%20B4N%203E2","Map")</f>
        <v>Map</v>
      </c>
    </row>
    <row r="57" customFormat="false" ht="23.85" hidden="false" customHeight="false" outlineLevel="0" collapsed="false">
      <c r="A57" s="8"/>
      <c r="B57" s="9" t="s">
        <v>33</v>
      </c>
      <c r="C57" s="9" t="s">
        <v>96</v>
      </c>
      <c r="D57" s="10" t="s">
        <v>206</v>
      </c>
      <c r="E57" s="10" t="s">
        <v>207</v>
      </c>
      <c r="F57" s="9" t="s">
        <v>199</v>
      </c>
      <c r="G57" s="10" t="s">
        <v>195</v>
      </c>
      <c r="H57" s="10" t="s">
        <v>200</v>
      </c>
      <c r="I57" s="9" t="s">
        <v>208</v>
      </c>
      <c r="J57" s="9" t="n">
        <v>3</v>
      </c>
      <c r="K57" s="8"/>
      <c r="L57" s="11" t="s">
        <v>103</v>
      </c>
      <c r="M57" s="9"/>
      <c r="N57" s="9" t="n">
        <v>45.0687</v>
      </c>
      <c r="O57" s="9" t="n">
        <v>-64.455997</v>
      </c>
      <c r="P57" s="12" t="str">
        <f aca="false">HYPERLINK("https://www.google.com/maps/search/?api=1&amp;query=The%20UPS%20Store%2C%209049%20Commercial%20St%20New%20Minas%20Plaza%2C%20New%20Minas%2C%20NS%20B4N%203E3","Map")</f>
        <v>Map</v>
      </c>
    </row>
    <row r="58" customFormat="false" ht="15" hidden="false" customHeight="false" outlineLevel="0" collapsed="false">
      <c r="A58" s="8"/>
      <c r="B58" s="9" t="s">
        <v>33</v>
      </c>
      <c r="C58" s="9" t="s">
        <v>110</v>
      </c>
      <c r="D58" s="10" t="s">
        <v>209</v>
      </c>
      <c r="E58" s="10" t="s">
        <v>210</v>
      </c>
      <c r="F58" s="9" t="s">
        <v>194</v>
      </c>
      <c r="G58" s="10" t="s">
        <v>195</v>
      </c>
      <c r="H58" s="10" t="s">
        <v>196</v>
      </c>
      <c r="I58" s="9" t="s">
        <v>149</v>
      </c>
      <c r="J58" s="9" t="n">
        <v>3</v>
      </c>
      <c r="K58" s="8"/>
      <c r="L58" s="11"/>
      <c r="M58" s="9" t="s">
        <v>54</v>
      </c>
      <c r="N58" s="9" t="n">
        <v>45.092645</v>
      </c>
      <c r="O58" s="9" t="n">
        <v>-64.363466</v>
      </c>
      <c r="P58" s="12" t="str">
        <f aca="false">HYPERLINK("https://www.google.com/maps/search/?api=1&amp;query=Wolfville%20Memorial%20Library%2C%2021%20Elm%20Ave%2C%20Wolfville%2C%20NS%20B4P%202A1","Map")</f>
        <v>Map</v>
      </c>
    </row>
    <row r="59" customFormat="false" ht="15" hidden="false" customHeight="false" outlineLevel="0" collapsed="false">
      <c r="A59" s="8"/>
      <c r="B59" s="9" t="s">
        <v>33</v>
      </c>
      <c r="C59" s="9" t="s">
        <v>110</v>
      </c>
      <c r="D59" s="10" t="s">
        <v>211</v>
      </c>
      <c r="E59" s="10" t="s">
        <v>212</v>
      </c>
      <c r="F59" s="9" t="s">
        <v>213</v>
      </c>
      <c r="G59" s="10" t="s">
        <v>141</v>
      </c>
      <c r="H59" s="10" t="s">
        <v>214</v>
      </c>
      <c r="I59" s="9" t="s">
        <v>215</v>
      </c>
      <c r="J59" s="9" t="n">
        <v>3</v>
      </c>
      <c r="K59" s="8"/>
      <c r="L59" s="11"/>
      <c r="M59" s="9"/>
      <c r="N59" s="9" t="n">
        <v>45.091597</v>
      </c>
      <c r="O59" s="9" t="n">
        <v>-64.362717</v>
      </c>
      <c r="P59" s="12" t="str">
        <f aca="false">HYPERLINK("https://www.google.com/maps/search/?api=1&amp;query=Valley%20Girl%20Boutique%2C%20452%20Main%20St%2C%20Wolfville%2C%20NS%20B4P%202A1","Map")</f>
        <v>Map</v>
      </c>
    </row>
    <row r="60" customFormat="false" ht="15" hidden="false" customHeight="false" outlineLevel="0" collapsed="false">
      <c r="A60" s="8"/>
      <c r="B60" s="9" t="s">
        <v>33</v>
      </c>
      <c r="C60" s="9" t="s">
        <v>110</v>
      </c>
      <c r="D60" s="10" t="s">
        <v>216</v>
      </c>
      <c r="E60" s="10" t="s">
        <v>217</v>
      </c>
      <c r="F60" s="9" t="s">
        <v>213</v>
      </c>
      <c r="G60" s="10" t="s">
        <v>141</v>
      </c>
      <c r="H60" s="10" t="s">
        <v>214</v>
      </c>
      <c r="I60" s="9" t="s">
        <v>215</v>
      </c>
      <c r="J60" s="9" t="n">
        <v>3</v>
      </c>
      <c r="K60" s="8"/>
      <c r="L60" s="11"/>
      <c r="M60" s="9"/>
      <c r="N60" s="9" t="n">
        <v>45.091455</v>
      </c>
      <c r="O60" s="9" t="n">
        <v>-64.360104</v>
      </c>
      <c r="P60" s="12" t="str">
        <f aca="false">HYPERLINK("https://www.google.com/maps/search/?api=1&amp;query=Wild%20Lily%2C%20385%20Main%20St%2C%20Wolfville%2C%20NS%20B4P%202B8","Map")</f>
        <v>Map</v>
      </c>
    </row>
    <row r="61" customFormat="false" ht="15" hidden="false" customHeight="false" outlineLevel="0" collapsed="false">
      <c r="A61" s="8"/>
      <c r="B61" s="9" t="s">
        <v>33</v>
      </c>
      <c r="C61" s="9" t="s">
        <v>110</v>
      </c>
      <c r="D61" s="10" t="s">
        <v>218</v>
      </c>
      <c r="E61" s="10" t="s">
        <v>219</v>
      </c>
      <c r="F61" s="9" t="s">
        <v>213</v>
      </c>
      <c r="G61" s="10" t="s">
        <v>141</v>
      </c>
      <c r="H61" s="10" t="s">
        <v>214</v>
      </c>
      <c r="I61" s="9" t="s">
        <v>215</v>
      </c>
      <c r="J61" s="9" t="n">
        <v>3</v>
      </c>
      <c r="K61" s="8"/>
      <c r="L61" s="11"/>
      <c r="M61" s="9"/>
      <c r="N61" s="9" t="n">
        <v>45.091461</v>
      </c>
      <c r="O61" s="9" t="n">
        <v>-64.363328</v>
      </c>
      <c r="P61" s="12" t="str">
        <f aca="false">HYPERLINK("https://www.google.com/maps/search/?api=1&amp;query=The%20Market%20-%20Groove%20Merchants%2C%20466%20Main%20St%2C%20Wolfville%2C%20NS%20B4P%202A1","Map")</f>
        <v>Map</v>
      </c>
    </row>
    <row r="62" customFormat="false" ht="15" hidden="false" customHeight="false" outlineLevel="0" collapsed="false">
      <c r="A62" s="8"/>
      <c r="B62" s="9" t="s">
        <v>33</v>
      </c>
      <c r="C62" s="9" t="s">
        <v>110</v>
      </c>
      <c r="D62" s="10" t="s">
        <v>220</v>
      </c>
      <c r="E62" s="10" t="s">
        <v>221</v>
      </c>
      <c r="F62" s="9" t="s">
        <v>213</v>
      </c>
      <c r="G62" s="10" t="s">
        <v>141</v>
      </c>
      <c r="H62" s="10" t="s">
        <v>214</v>
      </c>
      <c r="I62" s="9" t="s">
        <v>149</v>
      </c>
      <c r="J62" s="9" t="n">
        <v>3</v>
      </c>
      <c r="K62" s="8"/>
      <c r="L62" s="11"/>
      <c r="M62" s="9"/>
      <c r="N62" s="9" t="n">
        <v>45.092137</v>
      </c>
      <c r="O62" s="9" t="n">
        <v>-64.364343</v>
      </c>
      <c r="P62" s="12" t="str">
        <f aca="false">HYPERLINK("https://www.google.com/maps/search/?api=1&amp;query=Realm%20Boutique%2C%2012%20Elm%20Ave%2C%20Wolfville%2C%20NS%20B4P%201Z9","Map")</f>
        <v>Map</v>
      </c>
    </row>
    <row r="63" customFormat="false" ht="15" hidden="false" customHeight="false" outlineLevel="0" collapsed="false">
      <c r="A63" s="8"/>
      <c r="B63" s="9" t="s">
        <v>33</v>
      </c>
      <c r="C63" s="9" t="s">
        <v>110</v>
      </c>
      <c r="D63" s="10" t="s">
        <v>222</v>
      </c>
      <c r="E63" s="10" t="s">
        <v>223</v>
      </c>
      <c r="F63" s="9" t="s">
        <v>213</v>
      </c>
      <c r="G63" s="10" t="s">
        <v>141</v>
      </c>
      <c r="H63" s="10" t="s">
        <v>214</v>
      </c>
      <c r="I63" s="9" t="s">
        <v>149</v>
      </c>
      <c r="J63" s="9" t="n">
        <v>3</v>
      </c>
      <c r="K63" s="8"/>
      <c r="L63" s="11"/>
      <c r="M63" s="9"/>
      <c r="N63" s="9" t="n">
        <v>45.091843</v>
      </c>
      <c r="O63" s="9" t="n">
        <v>-64.360372</v>
      </c>
      <c r="P63" s="12" t="str">
        <f aca="false">HYPERLINK("https://www.google.com/maps/search/?api=1&amp;query=Jane%E2%80%99s%20Again%2C%20390%20Main%20St%2C%20Wolfville%2C%20NS%20B4P%201A4","Map")</f>
        <v>Map</v>
      </c>
    </row>
  </sheetData>
  <autoFilter ref="A4:P6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1"/>
    <col collapsed="false" customWidth="true" hidden="false" outlineLevel="0" max="3" min="3" style="0" width="12"/>
    <col collapsed="false" customWidth="true" hidden="false" outlineLevel="0" max="4" min="4" style="0" width="32"/>
    <col collapsed="false" customWidth="true" hidden="false" outlineLevel="0" max="5" min="5" style="0" width="40"/>
    <col collapsed="false" customWidth="true" hidden="false" outlineLevel="0" max="6" min="6" style="0" width="22"/>
    <col collapsed="false" customWidth="true" hidden="false" outlineLevel="0" max="7" min="7" style="0" width="30"/>
    <col collapsed="false" customWidth="true" hidden="false" outlineLevel="0" max="8" min="8" style="0" width="46"/>
    <col collapsed="false" customWidth="true" hidden="false" outlineLevel="0" max="9" min="9" style="0" width="14"/>
    <col collapsed="false" customWidth="true" hidden="false" outlineLevel="0" max="10" min="10" style="0" width="11"/>
    <col collapsed="false" customWidth="true" hidden="false" outlineLevel="0" max="11" min="11" style="0" width="9"/>
    <col collapsed="false" customWidth="true" hidden="false" outlineLevel="0" max="12" min="12" style="0" width="30"/>
    <col collapsed="false" customWidth="true" hidden="false" outlineLevel="0" max="13" min="13" style="0" width="26"/>
    <col collapsed="false" customWidth="true" hidden="false" outlineLevel="0" max="14" min="14" style="0" width="12"/>
    <col collapsed="false" customWidth="true" hidden="false" outlineLevel="0" max="15" min="15" style="0" width="10"/>
  </cols>
  <sheetData>
    <row r="1" customFormat="false" ht="16.15" hidden="false" customHeight="false" outlineLevel="0" collapsed="false">
      <c r="A1" s="4" t="s">
        <v>224</v>
      </c>
    </row>
    <row r="2" customFormat="false" ht="15" hidden="false" customHeight="false" outlineLevel="0" collapsed="false">
      <c r="A2" s="5" t="s">
        <v>225</v>
      </c>
    </row>
    <row r="4" customFormat="false" ht="26.85" hidden="false" customHeight="false" outlineLevel="0" collapsed="false">
      <c r="A4" s="7" t="s">
        <v>17</v>
      </c>
      <c r="B4" s="7" t="s">
        <v>18</v>
      </c>
      <c r="C4" s="7" t="s">
        <v>19</v>
      </c>
      <c r="D4" s="7" t="s">
        <v>20</v>
      </c>
      <c r="E4" s="7" t="s">
        <v>21</v>
      </c>
      <c r="F4" s="7" t="s">
        <v>22</v>
      </c>
      <c r="G4" s="7" t="s">
        <v>23</v>
      </c>
      <c r="H4" s="7" t="s">
        <v>24</v>
      </c>
      <c r="I4" s="7" t="s">
        <v>25</v>
      </c>
      <c r="J4" s="7" t="s">
        <v>26</v>
      </c>
      <c r="K4" s="7" t="s">
        <v>27</v>
      </c>
      <c r="L4" s="7" t="s">
        <v>28</v>
      </c>
      <c r="M4" s="7" t="s">
        <v>226</v>
      </c>
      <c r="N4" s="7" t="s">
        <v>227</v>
      </c>
      <c r="O4" s="7" t="s">
        <v>228</v>
      </c>
    </row>
    <row r="5" customFormat="false" ht="35.05" hidden="false" customHeight="false" outlineLevel="0" collapsed="false">
      <c r="A5" s="8"/>
      <c r="B5" s="9" t="s">
        <v>33</v>
      </c>
      <c r="C5" s="9" t="s">
        <v>110</v>
      </c>
      <c r="D5" s="10" t="s">
        <v>128</v>
      </c>
      <c r="E5" s="10" t="s">
        <v>229</v>
      </c>
      <c r="F5" s="10" t="s">
        <v>230</v>
      </c>
      <c r="G5" s="10" t="s">
        <v>231</v>
      </c>
      <c r="H5" s="10" t="s">
        <v>232</v>
      </c>
      <c r="I5" s="9"/>
      <c r="J5" s="9" t="n">
        <v>1</v>
      </c>
      <c r="K5" s="8"/>
      <c r="L5" s="11"/>
      <c r="M5" s="10" t="s">
        <v>233</v>
      </c>
      <c r="N5" s="9" t="s">
        <v>234</v>
      </c>
      <c r="O5" s="12" t="str">
        <f aca="false">HYPERLINK("https://www.jobbank.gc.ca/jobsearch/jobposting/50309883","Posting")</f>
        <v>Posting</v>
      </c>
    </row>
    <row r="6" customFormat="false" ht="35.05" hidden="false" customHeight="false" outlineLevel="0" collapsed="false">
      <c r="A6" s="8"/>
      <c r="B6" s="9" t="s">
        <v>33</v>
      </c>
      <c r="C6" s="9" t="s">
        <v>110</v>
      </c>
      <c r="D6" s="10" t="s">
        <v>235</v>
      </c>
      <c r="E6" s="10" t="s">
        <v>236</v>
      </c>
      <c r="F6" s="10" t="s">
        <v>237</v>
      </c>
      <c r="G6" s="10" t="s">
        <v>231</v>
      </c>
      <c r="H6" s="10" t="s">
        <v>238</v>
      </c>
      <c r="I6" s="9"/>
      <c r="J6" s="9" t="n">
        <v>1</v>
      </c>
      <c r="K6" s="8"/>
      <c r="L6" s="11"/>
      <c r="M6" s="10" t="s">
        <v>239</v>
      </c>
      <c r="N6" s="9" t="s">
        <v>240</v>
      </c>
      <c r="O6" s="12" t="str">
        <f aca="false">HYPERLINK("https://www.jobbank.gc.ca/jobsearch/jobposting/50226438","Posting")</f>
        <v>Posting</v>
      </c>
    </row>
    <row r="7" customFormat="false" ht="35.05" hidden="false" customHeight="false" outlineLevel="0" collapsed="false">
      <c r="A7" s="8"/>
      <c r="B7" s="9" t="s">
        <v>33</v>
      </c>
      <c r="C7" s="9" t="s">
        <v>110</v>
      </c>
      <c r="D7" s="10" t="s">
        <v>119</v>
      </c>
      <c r="E7" s="10" t="s">
        <v>241</v>
      </c>
      <c r="F7" s="10" t="s">
        <v>242</v>
      </c>
      <c r="G7" s="10" t="s">
        <v>231</v>
      </c>
      <c r="H7" s="10" t="s">
        <v>243</v>
      </c>
      <c r="I7" s="9"/>
      <c r="J7" s="9" t="n">
        <v>1</v>
      </c>
      <c r="K7" s="8"/>
      <c r="L7" s="11"/>
      <c r="M7" s="10" t="s">
        <v>244</v>
      </c>
      <c r="N7" s="9" t="s">
        <v>245</v>
      </c>
      <c r="O7" s="12" t="str">
        <f aca="false">HYPERLINK("https://www.jobbank.gc.ca/jobsearch/jobposting/50541786","Posting")</f>
        <v>Posting</v>
      </c>
    </row>
    <row r="8" customFormat="false" ht="35.05" hidden="false" customHeight="false" outlineLevel="0" collapsed="false">
      <c r="A8" s="8"/>
      <c r="B8" s="9" t="s">
        <v>33</v>
      </c>
      <c r="C8" s="9" t="s">
        <v>110</v>
      </c>
      <c r="D8" s="10" t="s">
        <v>246</v>
      </c>
      <c r="E8" s="10" t="s">
        <v>247</v>
      </c>
      <c r="F8" s="10" t="s">
        <v>230</v>
      </c>
      <c r="G8" s="10" t="s">
        <v>231</v>
      </c>
      <c r="H8" s="10" t="s">
        <v>243</v>
      </c>
      <c r="I8" s="9"/>
      <c r="J8" s="9" t="n">
        <v>1</v>
      </c>
      <c r="K8" s="8"/>
      <c r="L8" s="11"/>
      <c r="M8" s="10" t="s">
        <v>244</v>
      </c>
      <c r="N8" s="9" t="s">
        <v>248</v>
      </c>
      <c r="O8" s="12" t="str">
        <f aca="false">HYPERLINK("https://www.jobbank.gc.ca/jobsearch/jobposting/50549264","Posting")</f>
        <v>Posting</v>
      </c>
    </row>
    <row r="9" customFormat="false" ht="35.05" hidden="false" customHeight="false" outlineLevel="0" collapsed="false">
      <c r="A9" s="8"/>
      <c r="B9" s="9" t="s">
        <v>33</v>
      </c>
      <c r="C9" s="9" t="s">
        <v>110</v>
      </c>
      <c r="D9" s="10" t="s">
        <v>249</v>
      </c>
      <c r="E9" s="10" t="s">
        <v>126</v>
      </c>
      <c r="F9" s="10" t="s">
        <v>250</v>
      </c>
      <c r="G9" s="10" t="s">
        <v>231</v>
      </c>
      <c r="H9" s="10" t="s">
        <v>251</v>
      </c>
      <c r="I9" s="9"/>
      <c r="J9" s="9" t="n">
        <v>1</v>
      </c>
      <c r="K9" s="8"/>
      <c r="L9" s="11" t="s">
        <v>252</v>
      </c>
      <c r="M9" s="10" t="s">
        <v>253</v>
      </c>
      <c r="N9" s="9" t="s">
        <v>254</v>
      </c>
      <c r="O9" s="12" t="str">
        <f aca="false">HYPERLINK("https://ca.indeed.com/Restaurants-jobs-in-Wolfville","Posting")</f>
        <v>Posting</v>
      </c>
    </row>
    <row r="10" customFormat="false" ht="35.05" hidden="false" customHeight="false" outlineLevel="0" collapsed="false">
      <c r="A10" s="8"/>
      <c r="B10" s="9" t="s">
        <v>33</v>
      </c>
      <c r="C10" s="9" t="s">
        <v>110</v>
      </c>
      <c r="D10" s="10" t="s">
        <v>255</v>
      </c>
      <c r="E10" s="10" t="s">
        <v>256</v>
      </c>
      <c r="F10" s="10" t="s">
        <v>257</v>
      </c>
      <c r="G10" s="10" t="s">
        <v>231</v>
      </c>
      <c r="H10" s="10" t="s">
        <v>258</v>
      </c>
      <c r="I10" s="9"/>
      <c r="J10" s="9" t="n">
        <v>1</v>
      </c>
      <c r="K10" s="8"/>
      <c r="L10" s="11"/>
      <c r="M10" s="10" t="s">
        <v>259</v>
      </c>
      <c r="N10" s="9" t="s">
        <v>260</v>
      </c>
      <c r="O10" s="12" t="str">
        <f aca="false">HYPERLINK("https://www.jobbank.gc.ca/jobsearch/jobposting/50425508","Posting")</f>
        <v>Posting</v>
      </c>
    </row>
    <row r="11" customFormat="false" ht="35.05" hidden="false" customHeight="false" outlineLevel="0" collapsed="false">
      <c r="A11" s="8"/>
      <c r="B11" s="9" t="s">
        <v>33</v>
      </c>
      <c r="C11" s="9" t="s">
        <v>96</v>
      </c>
      <c r="D11" s="10" t="s">
        <v>97</v>
      </c>
      <c r="E11" s="10" t="s">
        <v>98</v>
      </c>
      <c r="F11" s="10" t="s">
        <v>261</v>
      </c>
      <c r="G11" s="10" t="s">
        <v>231</v>
      </c>
      <c r="H11" s="10" t="s">
        <v>262</v>
      </c>
      <c r="I11" s="9"/>
      <c r="J11" s="9" t="n">
        <v>1</v>
      </c>
      <c r="K11" s="8"/>
      <c r="L11" s="11"/>
      <c r="M11" s="10" t="s">
        <v>263</v>
      </c>
      <c r="N11" s="9" t="s">
        <v>260</v>
      </c>
      <c r="O11" s="12" t="str">
        <f aca="false">HYPERLINK("https://www.jobbank.gc.ca/jobsearch/jobposting/50425895","Posting")</f>
        <v>Posting</v>
      </c>
    </row>
    <row r="12" customFormat="false" ht="35.05" hidden="false" customHeight="false" outlineLevel="0" collapsed="false">
      <c r="A12" s="8"/>
      <c r="B12" s="9" t="s">
        <v>33</v>
      </c>
      <c r="C12" s="9" t="s">
        <v>96</v>
      </c>
      <c r="D12" s="10" t="s">
        <v>264</v>
      </c>
      <c r="E12" s="10" t="s">
        <v>265</v>
      </c>
      <c r="F12" s="10" t="s">
        <v>266</v>
      </c>
      <c r="G12" s="10" t="s">
        <v>231</v>
      </c>
      <c r="H12" s="10" t="s">
        <v>243</v>
      </c>
      <c r="I12" s="9"/>
      <c r="J12" s="9" t="n">
        <v>1</v>
      </c>
      <c r="K12" s="8"/>
      <c r="L12" s="11"/>
      <c r="M12" s="10" t="s">
        <v>244</v>
      </c>
      <c r="N12" s="9" t="s">
        <v>260</v>
      </c>
      <c r="O12" s="12" t="str">
        <f aca="false">HYPERLINK("https://www.jobbank.gc.ca/jobsearch/jobposting/50426176","Posting")</f>
        <v>Posting</v>
      </c>
    </row>
    <row r="13" customFormat="false" ht="35.05" hidden="false" customHeight="false" outlineLevel="0" collapsed="false">
      <c r="A13" s="8"/>
      <c r="B13" s="9" t="s">
        <v>33</v>
      </c>
      <c r="C13" s="9" t="s">
        <v>96</v>
      </c>
      <c r="D13" s="10" t="s">
        <v>267</v>
      </c>
      <c r="E13" s="10" t="s">
        <v>268</v>
      </c>
      <c r="F13" s="10" t="s">
        <v>269</v>
      </c>
      <c r="G13" s="10" t="s">
        <v>231</v>
      </c>
      <c r="H13" s="10" t="s">
        <v>270</v>
      </c>
      <c r="I13" s="9"/>
      <c r="J13" s="9" t="n">
        <v>1</v>
      </c>
      <c r="K13" s="8"/>
      <c r="L13" s="11"/>
      <c r="M13" s="10" t="s">
        <v>271</v>
      </c>
      <c r="N13" s="9" t="s">
        <v>248</v>
      </c>
      <c r="O13" s="12" t="str">
        <f aca="false">HYPERLINK("https://www.jobbank.gc.ca/jobsearch/jobposting/50549020","Posting")</f>
        <v>Posting</v>
      </c>
    </row>
    <row r="14" customFormat="false" ht="35.05" hidden="false" customHeight="false" outlineLevel="0" collapsed="false">
      <c r="A14" s="8"/>
      <c r="B14" s="9" t="s">
        <v>33</v>
      </c>
      <c r="C14" s="9" t="s">
        <v>96</v>
      </c>
      <c r="D14" s="10" t="s">
        <v>272</v>
      </c>
      <c r="E14" s="10" t="s">
        <v>273</v>
      </c>
      <c r="F14" s="10" t="s">
        <v>274</v>
      </c>
      <c r="G14" s="10" t="s">
        <v>231</v>
      </c>
      <c r="H14" s="10" t="s">
        <v>275</v>
      </c>
      <c r="I14" s="9"/>
      <c r="J14" s="9" t="n">
        <v>1</v>
      </c>
      <c r="K14" s="8"/>
      <c r="L14" s="11"/>
      <c r="M14" s="10" t="s">
        <v>276</v>
      </c>
      <c r="N14" s="9" t="s">
        <v>277</v>
      </c>
      <c r="O14" s="12" t="str">
        <f aca="false">HYPERLINK("https://www.jobbank.gc.ca/jobsearch/jobposting/50360380","Posting")</f>
        <v>Posting</v>
      </c>
    </row>
    <row r="15" customFormat="false" ht="35.05" hidden="false" customHeight="false" outlineLevel="0" collapsed="false">
      <c r="A15" s="8"/>
      <c r="B15" s="9" t="s">
        <v>33</v>
      </c>
      <c r="C15" s="9" t="s">
        <v>96</v>
      </c>
      <c r="D15" s="10" t="s">
        <v>278</v>
      </c>
      <c r="E15" s="10" t="s">
        <v>279</v>
      </c>
      <c r="F15" s="10" t="s">
        <v>280</v>
      </c>
      <c r="G15" s="10" t="s">
        <v>231</v>
      </c>
      <c r="H15" s="10" t="s">
        <v>281</v>
      </c>
      <c r="I15" s="9"/>
      <c r="J15" s="9" t="n">
        <v>1</v>
      </c>
      <c r="K15" s="8"/>
      <c r="L15" s="11"/>
      <c r="M15" s="10" t="s">
        <v>282</v>
      </c>
      <c r="N15" s="9" t="s">
        <v>283</v>
      </c>
      <c r="O15" s="12" t="str">
        <f aca="false">HYPERLINK("https://www.jobbank.gc.ca/jobsearch/jobposting/50493897","Posting")</f>
        <v>Posting</v>
      </c>
    </row>
    <row r="16" customFormat="false" ht="35.05" hidden="false" customHeight="false" outlineLevel="0" collapsed="false">
      <c r="A16" s="8"/>
      <c r="B16" s="9" t="s">
        <v>33</v>
      </c>
      <c r="C16" s="9" t="s">
        <v>96</v>
      </c>
      <c r="D16" s="10" t="s">
        <v>284</v>
      </c>
      <c r="E16" s="10" t="s">
        <v>285</v>
      </c>
      <c r="F16" s="10" t="s">
        <v>286</v>
      </c>
      <c r="G16" s="10" t="s">
        <v>287</v>
      </c>
      <c r="H16" s="10" t="s">
        <v>288</v>
      </c>
      <c r="I16" s="9"/>
      <c r="J16" s="9" t="n">
        <v>2</v>
      </c>
      <c r="K16" s="8"/>
      <c r="L16" s="11"/>
      <c r="M16" s="10" t="s">
        <v>289</v>
      </c>
      <c r="N16" s="9" t="s">
        <v>290</v>
      </c>
      <c r="O16" s="12" t="str">
        <f aca="false">HYPERLINK("https://www.jobbank.gc.ca/jobsearch/jobposting/50455049","Posting")</f>
        <v>Posting</v>
      </c>
    </row>
    <row r="17" customFormat="false" ht="35.05" hidden="false" customHeight="false" outlineLevel="0" collapsed="false">
      <c r="A17" s="8"/>
      <c r="B17" s="9" t="s">
        <v>33</v>
      </c>
      <c r="C17" s="9" t="s">
        <v>96</v>
      </c>
      <c r="D17" s="10" t="s">
        <v>291</v>
      </c>
      <c r="E17" s="10" t="s">
        <v>292</v>
      </c>
      <c r="F17" s="10" t="s">
        <v>293</v>
      </c>
      <c r="G17" s="10" t="s">
        <v>287</v>
      </c>
      <c r="H17" s="10" t="s">
        <v>294</v>
      </c>
      <c r="I17" s="9"/>
      <c r="J17" s="9" t="n">
        <v>2</v>
      </c>
      <c r="K17" s="8"/>
      <c r="L17" s="11"/>
      <c r="M17" s="10" t="s">
        <v>295</v>
      </c>
      <c r="N17" s="9" t="s">
        <v>296</v>
      </c>
      <c r="O17" s="12" t="str">
        <f aca="false">HYPERLINK("https://www.jobbank.gc.ca/jobsearch/jobposting/50443343","Posting")</f>
        <v>Posting</v>
      </c>
    </row>
    <row r="18" customFormat="false" ht="35.05" hidden="false" customHeight="false" outlineLevel="0" collapsed="false">
      <c r="A18" s="8"/>
      <c r="B18" s="9" t="s">
        <v>33</v>
      </c>
      <c r="C18" s="9" t="s">
        <v>46</v>
      </c>
      <c r="D18" s="10" t="s">
        <v>78</v>
      </c>
      <c r="E18" s="10" t="s">
        <v>79</v>
      </c>
      <c r="F18" s="10" t="s">
        <v>297</v>
      </c>
      <c r="G18" s="10" t="s">
        <v>231</v>
      </c>
      <c r="H18" s="10" t="s">
        <v>298</v>
      </c>
      <c r="I18" s="9"/>
      <c r="J18" s="9" t="n">
        <v>1</v>
      </c>
      <c r="K18" s="8"/>
      <c r="L18" s="11" t="s">
        <v>252</v>
      </c>
      <c r="M18" s="10" t="s">
        <v>299</v>
      </c>
      <c r="N18" s="9" t="s">
        <v>254</v>
      </c>
      <c r="O18" s="12" t="str">
        <f aca="false">HYPERLINK("https://tasteofnovascotia.com/whos-hiring-2/","Posting")</f>
        <v>Posting</v>
      </c>
    </row>
    <row r="19" customFormat="false" ht="35.05" hidden="false" customHeight="false" outlineLevel="0" collapsed="false">
      <c r="A19" s="8"/>
      <c r="B19" s="9" t="s">
        <v>33</v>
      </c>
      <c r="C19" s="9" t="s">
        <v>46</v>
      </c>
      <c r="D19" s="10" t="s">
        <v>300</v>
      </c>
      <c r="E19" s="10" t="s">
        <v>301</v>
      </c>
      <c r="F19" s="10" t="s">
        <v>302</v>
      </c>
      <c r="G19" s="10" t="s">
        <v>231</v>
      </c>
      <c r="H19" s="10" t="s">
        <v>303</v>
      </c>
      <c r="I19" s="9"/>
      <c r="J19" s="9" t="n">
        <v>1</v>
      </c>
      <c r="K19" s="8"/>
      <c r="L19" s="11"/>
      <c r="M19" s="10" t="s">
        <v>304</v>
      </c>
      <c r="N19" s="9" t="s">
        <v>305</v>
      </c>
      <c r="O19" s="12" t="str">
        <f aca="false">HYPERLINK("https://www.jobbank.gc.ca/jobsearch/jobposting/50462370","Posting")</f>
        <v>Posting</v>
      </c>
    </row>
    <row r="20" customFormat="false" ht="35.05" hidden="false" customHeight="false" outlineLevel="0" collapsed="false">
      <c r="A20" s="8"/>
      <c r="B20" s="9" t="s">
        <v>33</v>
      </c>
      <c r="C20" s="9" t="s">
        <v>46</v>
      </c>
      <c r="D20" s="10" t="s">
        <v>306</v>
      </c>
      <c r="E20" s="10" t="s">
        <v>307</v>
      </c>
      <c r="F20" s="10" t="s">
        <v>308</v>
      </c>
      <c r="G20" s="10" t="s">
        <v>231</v>
      </c>
      <c r="H20" s="10" t="s">
        <v>309</v>
      </c>
      <c r="I20" s="9"/>
      <c r="J20" s="9" t="n">
        <v>1</v>
      </c>
      <c r="K20" s="8"/>
      <c r="L20" s="11"/>
      <c r="M20" s="10" t="s">
        <v>310</v>
      </c>
      <c r="N20" s="9" t="s">
        <v>311</v>
      </c>
      <c r="O20" s="12" t="str">
        <f aca="false">HYPERLINK("https://www.jobbank.gc.ca/jobsearch/jobposting/50503629","Posting")</f>
        <v>Posting</v>
      </c>
    </row>
    <row r="21" customFormat="false" ht="35.05" hidden="false" customHeight="false" outlineLevel="0" collapsed="false">
      <c r="A21" s="8"/>
      <c r="B21" s="9" t="s">
        <v>33</v>
      </c>
      <c r="C21" s="9" t="s">
        <v>46</v>
      </c>
      <c r="D21" s="10" t="s">
        <v>312</v>
      </c>
      <c r="E21" s="10" t="s">
        <v>313</v>
      </c>
      <c r="F21" s="10" t="s">
        <v>314</v>
      </c>
      <c r="G21" s="10" t="s">
        <v>231</v>
      </c>
      <c r="H21" s="10" t="s">
        <v>315</v>
      </c>
      <c r="I21" s="9"/>
      <c r="J21" s="9" t="n">
        <v>1</v>
      </c>
      <c r="K21" s="8"/>
      <c r="L21" s="11"/>
      <c r="M21" s="10" t="s">
        <v>316</v>
      </c>
      <c r="N21" s="9" t="s">
        <v>317</v>
      </c>
      <c r="O21" s="12" t="str">
        <f aca="false">HYPERLINK("https://www.jobbank.gc.ca/jobsearch/jobposting/50351430","Posting")</f>
        <v>Posting</v>
      </c>
    </row>
    <row r="22" customFormat="false" ht="35.05" hidden="false" customHeight="false" outlineLevel="0" collapsed="false">
      <c r="A22" s="8"/>
      <c r="B22" s="9" t="s">
        <v>33</v>
      </c>
      <c r="C22" s="9" t="s">
        <v>46</v>
      </c>
      <c r="D22" s="10" t="s">
        <v>318</v>
      </c>
      <c r="E22" s="10" t="s">
        <v>319</v>
      </c>
      <c r="F22" s="10" t="s">
        <v>320</v>
      </c>
      <c r="G22" s="10" t="s">
        <v>231</v>
      </c>
      <c r="H22" s="10" t="s">
        <v>321</v>
      </c>
      <c r="I22" s="9"/>
      <c r="J22" s="9" t="n">
        <v>1</v>
      </c>
      <c r="K22" s="8"/>
      <c r="L22" s="11"/>
      <c r="M22" s="10" t="s">
        <v>322</v>
      </c>
      <c r="N22" s="9" t="s">
        <v>317</v>
      </c>
      <c r="O22" s="12" t="str">
        <f aca="false">HYPERLINK("https://www.jobbank.gc.ca/jobsearch/jobposting/50348596","Posting")</f>
        <v>Posting</v>
      </c>
    </row>
    <row r="23" customFormat="false" ht="35.05" hidden="false" customHeight="false" outlineLevel="0" collapsed="false">
      <c r="A23" s="8"/>
      <c r="B23" s="9" t="s">
        <v>33</v>
      </c>
      <c r="C23" s="9" t="s">
        <v>46</v>
      </c>
      <c r="D23" s="10" t="s">
        <v>323</v>
      </c>
      <c r="E23" s="10" t="s">
        <v>324</v>
      </c>
      <c r="F23" s="10" t="s">
        <v>325</v>
      </c>
      <c r="G23" s="10" t="s">
        <v>287</v>
      </c>
      <c r="H23" s="10" t="s">
        <v>294</v>
      </c>
      <c r="I23" s="9"/>
      <c r="J23" s="9" t="n">
        <v>2</v>
      </c>
      <c r="K23" s="8"/>
      <c r="L23" s="11"/>
      <c r="M23" s="10" t="s">
        <v>295</v>
      </c>
      <c r="N23" s="9" t="s">
        <v>311</v>
      </c>
      <c r="O23" s="12" t="str">
        <f aca="false">HYPERLINK("https://www.jobbank.gc.ca/jobsearch/jobposting/50505984","Posting")</f>
        <v>Posting</v>
      </c>
    </row>
    <row r="24" customFormat="false" ht="35.05" hidden="false" customHeight="false" outlineLevel="0" collapsed="false">
      <c r="A24" s="8"/>
      <c r="B24" s="9" t="s">
        <v>33</v>
      </c>
      <c r="C24" s="9" t="s">
        <v>46</v>
      </c>
      <c r="D24" s="10" t="s">
        <v>326</v>
      </c>
      <c r="E24" s="10" t="s">
        <v>327</v>
      </c>
      <c r="F24" s="10" t="s">
        <v>328</v>
      </c>
      <c r="G24" s="10" t="s">
        <v>287</v>
      </c>
      <c r="H24" s="10" t="s">
        <v>329</v>
      </c>
      <c r="I24" s="9"/>
      <c r="J24" s="9" t="n">
        <v>2</v>
      </c>
      <c r="K24" s="8"/>
      <c r="L24" s="11"/>
      <c r="M24" s="10" t="s">
        <v>330</v>
      </c>
      <c r="N24" s="9" t="s">
        <v>248</v>
      </c>
      <c r="O24" s="12" t="str">
        <f aca="false">HYPERLINK("https://www.jobbank.gc.ca/jobsearch/jobposting/50548172","Posting")</f>
        <v>Posting</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16"/>
    <col collapsed="false" customWidth="true" hidden="false" outlineLevel="0" max="5" min="5" style="0" width="60"/>
  </cols>
  <sheetData>
    <row r="1" customFormat="false" ht="15" hidden="false" customHeight="false" outlineLevel="0" collapsed="false">
      <c r="A1" s="13" t="s">
        <v>331</v>
      </c>
      <c r="B1" s="13" t="s">
        <v>332</v>
      </c>
      <c r="C1" s="13" t="s">
        <v>333</v>
      </c>
      <c r="D1" s="13" t="s">
        <v>334</v>
      </c>
      <c r="E1" s="13" t="s">
        <v>335</v>
      </c>
    </row>
    <row r="2" customFormat="false" ht="15" hidden="false" customHeight="false" outlineLevel="0" collapsed="false">
      <c r="A2" s="14" t="s">
        <v>336</v>
      </c>
      <c r="B2" s="14" t="n">
        <v>2</v>
      </c>
      <c r="C2" s="14" t="n">
        <f aca="false">COUNTIF('Staffkin stops'!G5:G263,"*(A)*")+4*COUNTIF('Staffkin stops'!G5:G263,"*5 counter*")+2*COUNTIF('Staffkin stops'!G5:G263,"3 counter*")+COUNTIF('Hiring now'!G5:G224,"*(A)*")+10</f>
        <v>83</v>
      </c>
      <c r="D2" s="14" t="n">
        <f aca="false">ROUNDUP(C2/B2,0)</f>
        <v>42</v>
      </c>
      <c r="E2" s="14" t="s">
        <v>337</v>
      </c>
    </row>
    <row r="3" customFormat="false" ht="15" hidden="false" customHeight="false" outlineLevel="0" collapsed="false">
      <c r="A3" s="14" t="s">
        <v>338</v>
      </c>
      <c r="B3" s="14" t="n">
        <v>4</v>
      </c>
      <c r="C3" s="14" t="n">
        <f aca="false">COUNTIF('Hiring now'!G5:G224,"*(B)*")+8</f>
        <v>12</v>
      </c>
      <c r="D3" s="14" t="n">
        <f aca="false">ROUNDUP(C3/B3,0)</f>
        <v>3</v>
      </c>
      <c r="E3" s="14" t="s">
        <v>339</v>
      </c>
    </row>
    <row r="4" customFormat="false" ht="15" hidden="false" customHeight="false" outlineLevel="0" collapsed="false">
      <c r="A4" s="14" t="s">
        <v>340</v>
      </c>
      <c r="B4" s="14" t="n">
        <v>1</v>
      </c>
      <c r="C4" s="14" t="n">
        <f aca="false">COUNTIF('Staffkin stops'!G5:G263,"*(C)*")+2</f>
        <v>9</v>
      </c>
      <c r="D4" s="14" t="n">
        <f aca="false">ROUNDUP(C4/B4,0)</f>
        <v>9</v>
      </c>
      <c r="E4" s="14" t="s">
        <v>341</v>
      </c>
    </row>
    <row r="5" customFormat="false" ht="15" hidden="false" customHeight="false" outlineLevel="0" collapsed="false">
      <c r="A5" s="14" t="s">
        <v>342</v>
      </c>
      <c r="B5" s="14" t="n">
        <v>10</v>
      </c>
      <c r="C5" s="14" t="n">
        <f aca="false">COUNTIF('Staffkin stops'!G5:G263,"*(D)*")*3+20</f>
        <v>77</v>
      </c>
      <c r="D5" s="14" t="n">
        <f aca="false">ROUNDUP(C5/B5,0)</f>
        <v>8</v>
      </c>
      <c r="E5" s="14" t="s">
        <v>343</v>
      </c>
    </row>
    <row r="6" customFormat="false" ht="15" hidden="false" customHeight="false" outlineLevel="0" collapsed="false">
      <c r="A6" s="6" t="s">
        <v>344</v>
      </c>
      <c r="D6" s="6" t="n">
        <f aca="false">SUM(D2:D5)</f>
        <v>62</v>
      </c>
    </row>
    <row r="8" customFormat="false" ht="15" hidden="false" customHeight="false" outlineLevel="0" collapsed="false">
      <c r="A8" s="5" t="s">
        <v>345</v>
      </c>
    </row>
    <row r="9" customFormat="false" ht="15" hidden="false" customHeight="false" outlineLevel="0" collapsed="false">
      <c r="A9" s="5" t="s">
        <v>346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2026-10-22T02:08:15Z</dcterms:created>
  <dc:creator>openpyxl</dc:creator>
  <dc:description/>
  <dc:language>en-US</dc:language>
  <cp:lastModifiedBy/>
  <dcterms:modified xsi:type="dcterms:W3CDTF">2026-10-22T02:08:15Z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